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ivi Carburant" sheetId="1" state="visible" r:id="rId1"/>
    <sheet name="Dettes" sheetId="2" state="visible" r:id="rId2"/>
    <sheet name="Trésorerie" sheetId="3" state="visible" r:id="rId3"/>
  </sheets>
  <definedNames/>
  <calcPr calcId="124519" fullCalcOnLoad="1"/>
</workbook>
</file>

<file path=xl/styles.xml><?xml version="1.0" encoding="utf-8"?>
<styleSheet xmlns="http://schemas.openxmlformats.org/spreadsheetml/2006/main">
  <numFmts count="6">
    <numFmt numFmtId="164" formatCode="0.0%"/>
    <numFmt numFmtId="165" formatCode="DD/MM/YYYY"/>
    <numFmt numFmtId="166" formatCode="#,##0.0"/>
    <numFmt numFmtId="167" formatCode="0.0&quot; L&quot;"/>
    <numFmt numFmtId="168" formatCode="#,##0&quot; dt&quot;"/>
    <numFmt numFmtId="169" formatCode="#,##0&quot; dt&quot;;[Red](#,##0&quot; dt&quot;)"/>
  </numFmts>
  <fonts count="11">
    <font>
      <name val="Calibri"/>
      <family val="2"/>
      <color theme="1"/>
      <sz val="11"/>
      <scheme val="minor"/>
    </font>
    <font>
      <name val="Arial"/>
      <b val="1"/>
      <color rgb="00FFFFFF"/>
      <sz val="16"/>
    </font>
    <font>
      <name val="Arial"/>
      <i val="1"/>
      <color rgb="00444444"/>
      <sz val="10"/>
    </font>
    <font>
      <name val="Arial"/>
      <b val="1"/>
      <color rgb="00000000"/>
      <sz val="10"/>
    </font>
    <font>
      <name val="Arial"/>
      <color rgb="000000FF"/>
      <sz val="10"/>
    </font>
    <font>
      <name val="Arial"/>
      <color rgb="00555555"/>
      <sz val="9"/>
    </font>
    <font>
      <name val="Arial"/>
      <b val="1"/>
      <color rgb="00FFFFFF"/>
      <sz val="10"/>
    </font>
    <font>
      <name val="Arial"/>
      <color rgb="00000000"/>
      <sz val="10"/>
    </font>
    <font>
      <name val="Arial"/>
      <b val="1"/>
      <color rgb="00C00000"/>
      <sz val="11"/>
    </font>
    <font>
      <name val="Arial"/>
      <color rgb="00008000"/>
      <sz val="10"/>
    </font>
    <font>
      <name val="Arial"/>
      <b val="1"/>
      <color rgb="00006100"/>
      <sz val="11"/>
    </font>
  </fonts>
  <fills count="8">
    <fill>
      <patternFill/>
    </fill>
    <fill>
      <patternFill patternType="gray125"/>
    </fill>
    <fill>
      <patternFill patternType="solid">
        <fgColor rgb="001F3864"/>
      </patternFill>
    </fill>
    <fill>
      <patternFill patternType="solid">
        <fgColor rgb="00FFF2CC"/>
      </patternFill>
    </fill>
    <fill>
      <patternFill patternType="solid">
        <fgColor rgb="002E5496"/>
      </patternFill>
    </fill>
    <fill>
      <patternFill patternType="solid">
        <fgColor rgb="00F2F2F2"/>
      </patternFill>
    </fill>
    <fill>
      <patternFill patternType="solid">
        <fgColor rgb="00EAF1FB"/>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pivotButton="0" quotePrefix="0" xfId="0"/>
    <xf numFmtId="164" fontId="4" fillId="3" borderId="1" applyAlignment="1" pivotButton="0" quotePrefix="0" xfId="0">
      <alignment horizontal="center" vertical="center"/>
    </xf>
    <xf numFmtId="0" fontId="5" fillId="0" borderId="0" pivotButton="0" quotePrefix="0" xfId="0"/>
    <xf numFmtId="0" fontId="4" fillId="0" borderId="0" pivotButton="0" quotePrefix="0" xfId="0"/>
    <xf numFmtId="0" fontId="6" fillId="4" borderId="1" applyAlignment="1" pivotButton="0" quotePrefix="0" xfId="0">
      <alignment horizontal="center" vertical="center" wrapText="1"/>
    </xf>
    <xf numFmtId="165" fontId="4" fillId="5" borderId="1" applyAlignment="1" pivotButton="0" quotePrefix="0" xfId="0">
      <alignment horizontal="center" vertical="center"/>
    </xf>
    <xf numFmtId="0" fontId="4" fillId="5" borderId="1" applyAlignment="1" pivotButton="0" quotePrefix="0" xfId="0">
      <alignment horizontal="center" vertical="center"/>
    </xf>
    <xf numFmtId="3" fontId="4" fillId="5" borderId="1" pivotButton="0" quotePrefix="0" xfId="0"/>
    <xf numFmtId="3" fontId="7" fillId="5" borderId="1" pivotButton="0" quotePrefix="0" xfId="0"/>
    <xf numFmtId="166" fontId="4" fillId="5" borderId="1" pivotButton="0" quotePrefix="0" xfId="0"/>
    <xf numFmtId="166" fontId="7" fillId="5" borderId="1" pivotButton="0" quotePrefix="0" xfId="0"/>
    <xf numFmtId="167" fontId="7" fillId="5" borderId="1" pivotButton="0" quotePrefix="0" xfId="0"/>
    <xf numFmtId="167" fontId="4" fillId="5" borderId="1" pivotButton="0" quotePrefix="0" xfId="0"/>
    <xf numFmtId="164" fontId="7" fillId="5" borderId="1" pivotButton="0" quotePrefix="0" xfId="0"/>
    <xf numFmtId="0" fontId="7" fillId="5" borderId="1" applyAlignment="1" pivotButton="0" quotePrefix="0" xfId="0">
      <alignment horizontal="center" vertical="center"/>
    </xf>
    <xf numFmtId="165" fontId="4" fillId="0" borderId="1" applyAlignment="1" pivotButton="0" quotePrefix="0" xfId="0">
      <alignment horizontal="center" vertical="center"/>
    </xf>
    <xf numFmtId="0" fontId="4" fillId="0" borderId="1" applyAlignment="1" pivotButton="0" quotePrefix="0" xfId="0">
      <alignment horizontal="center" vertical="center"/>
    </xf>
    <xf numFmtId="3" fontId="4" fillId="0" borderId="1" pivotButton="0" quotePrefix="0" xfId="0"/>
    <xf numFmtId="3" fontId="7" fillId="0" borderId="1" pivotButton="0" quotePrefix="0" xfId="0"/>
    <xf numFmtId="166" fontId="4" fillId="0" borderId="1" pivotButton="0" quotePrefix="0" xfId="0"/>
    <xf numFmtId="166" fontId="7" fillId="0" borderId="1" pivotButton="0" quotePrefix="0" xfId="0"/>
    <xf numFmtId="167" fontId="7" fillId="0" borderId="1" pivotButton="0" quotePrefix="0" xfId="0"/>
    <xf numFmtId="167" fontId="4" fillId="0" borderId="1" pivotButton="0" quotePrefix="0" xfId="0"/>
    <xf numFmtId="164" fontId="7" fillId="0" borderId="1" pivotButton="0" quotePrefix="0" xfId="0"/>
    <xf numFmtId="0" fontId="7" fillId="0" borderId="1" applyAlignment="1" pivotButton="0" quotePrefix="0" xfId="0">
      <alignment horizontal="center" vertical="center"/>
    </xf>
    <xf numFmtId="0" fontId="5" fillId="0" borderId="0" applyAlignment="1" pivotButton="0" quotePrefix="0" xfId="0">
      <alignment horizontal="left" vertical="center" wrapText="1"/>
    </xf>
    <xf numFmtId="0" fontId="4" fillId="5" borderId="1" pivotButton="0" quotePrefix="0" xfId="0"/>
    <xf numFmtId="168" fontId="4" fillId="5" borderId="1" pivotButton="0" quotePrefix="0" xfId="0"/>
    <xf numFmtId="164" fontId="4" fillId="5" borderId="1" pivotButton="0" quotePrefix="0" xfId="0"/>
    <xf numFmtId="165" fontId="4" fillId="5" borderId="1" pivotButton="0" quotePrefix="0" xfId="0"/>
    <xf numFmtId="0" fontId="4" fillId="0" borderId="1" pivotButton="0" quotePrefix="0" xfId="0"/>
    <xf numFmtId="168" fontId="4" fillId="0" borderId="1" pivotButton="0" quotePrefix="0" xfId="0"/>
    <xf numFmtId="164" fontId="4" fillId="0" borderId="1" pivotButton="0" quotePrefix="0" xfId="0"/>
    <xf numFmtId="165" fontId="4" fillId="0" borderId="1" pivotButton="0" quotePrefix="0" xfId="0"/>
    <xf numFmtId="0" fontId="3" fillId="3" borderId="1" pivotButton="0" quotePrefix="0" xfId="0"/>
    <xf numFmtId="168" fontId="8" fillId="3" borderId="1" pivotButton="0" quotePrefix="0" xfId="0"/>
    <xf numFmtId="168" fontId="4" fillId="3" borderId="1" applyAlignment="1" pivotButton="0" quotePrefix="0" xfId="0">
      <alignment horizontal="center" vertical="center"/>
    </xf>
    <xf numFmtId="168" fontId="9" fillId="3" borderId="1" applyAlignment="1" pivotButton="0" quotePrefix="0" xfId="0">
      <alignment horizontal="center" vertical="center"/>
    </xf>
    <xf numFmtId="0" fontId="3" fillId="6" borderId="1" pivotButton="0" quotePrefix="0" xfId="0"/>
    <xf numFmtId="0" fontId="4" fillId="6" borderId="1" pivotButton="0" quotePrefix="0" xfId="0"/>
    <xf numFmtId="169" fontId="7" fillId="6" borderId="1" pivotButton="0" quotePrefix="0" xfId="0"/>
    <xf numFmtId="0" fontId="7" fillId="6" borderId="1" pivotButton="0" quotePrefix="0" xfId="0"/>
    <xf numFmtId="0" fontId="3" fillId="0" borderId="1" pivotButton="0" quotePrefix="0" xfId="0"/>
    <xf numFmtId="169" fontId="7" fillId="0" borderId="1" pivotButton="0" quotePrefix="0" xfId="0"/>
    <xf numFmtId="0" fontId="7" fillId="0" borderId="1" pivotButton="0" quotePrefix="0" xfId="0"/>
    <xf numFmtId="169" fontId="3" fillId="3" borderId="1" pivotButton="0" quotePrefix="0" xfId="0"/>
    <xf numFmtId="0" fontId="10" fillId="7" borderId="1" applyAlignment="1" pivotButton="0" quotePrefix="0" xfId="0">
      <alignment horizontal="left" vertical="center"/>
    </xf>
  </cellXfs>
  <cellStyles count="1">
    <cellStyle name="Normal" xfId="0" builtinId="0" hidden="0"/>
  </cellStyles>
  <dxfs count="2">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Plan</author>
  </authors>
  <commentList>
    <comment ref="D4" authorId="0" shapeId="0">
      <text>
        <t>Au-dessus de cet écart vs la conso de référence, la ligne s'affiche en ROUGE. 0,15 = 15%.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M69"/>
  <sheetViews>
    <sheetView workbookViewId="0">
      <pane ySplit="7" topLeftCell="A8" activePane="bottomLeft" state="frozen"/>
      <selection pane="bottomLeft" activeCell="A1" sqref="A1"/>
    </sheetView>
  </sheetViews>
  <sheetFormatPr baseColWidth="8" defaultRowHeight="15"/>
  <cols>
    <col width="12" customWidth="1" min="1" max="1"/>
    <col width="16" customWidth="1" min="2" max="2"/>
    <col width="12" customWidth="1" min="3" max="3"/>
    <col width="11" customWidth="1" min="4" max="4"/>
    <col width="11" customWidth="1" min="5" max="5"/>
    <col width="11" customWidth="1" min="6" max="6"/>
    <col width="9" customWidth="1" min="7" max="7"/>
    <col width="11" customWidth="1" min="8" max="8"/>
    <col width="10" customWidth="1" min="9" max="9"/>
    <col width="11" customWidth="1" min="10" max="10"/>
    <col width="11" customWidth="1" min="11" max="11"/>
    <col width="9" customWidth="1" min="12" max="12"/>
    <col width="12" customWidth="1" min="13" max="13"/>
  </cols>
  <sheetData>
    <row r="1" ht="30" customHeight="1">
      <c r="A1" s="1" t="inlineStr">
        <is>
          <t>SUIVI CARBURANT &amp; DÉTECTION DE FRAUDE</t>
        </is>
      </c>
    </row>
    <row r="2" ht="18" customHeight="1">
      <c r="A2" s="2" t="inlineStr">
        <is>
          <t>Saisissez un plein par ligne. La consommation et les alertes se calculent automatiquement.</t>
        </is>
      </c>
    </row>
    <row r="4">
      <c r="A4" s="3" t="inlineStr">
        <is>
          <t>Seuil d'alerte (écart de consommation) :</t>
        </is>
      </c>
      <c r="D4" s="4" t="n">
        <v>0.15</v>
      </c>
      <c r="E4" s="5" t="inlineStr">
        <is>
          <t>← modifiable (cellule jaune)</t>
        </is>
      </c>
    </row>
    <row r="5">
      <c r="A5" s="3" t="inlineStr">
        <is>
          <t>Légende :</t>
        </is>
      </c>
      <c r="B5" s="6" t="inlineStr">
        <is>
          <t>Bleu = à saisir</t>
        </is>
      </c>
      <c r="C5" s="5" t="inlineStr">
        <is>
          <t>Noir = calculé automatiquement</t>
        </is>
      </c>
    </row>
    <row r="7" ht="30" customHeight="1">
      <c r="A7" s="7" t="inlineStr">
        <is>
          <t>Date</t>
        </is>
      </c>
      <c r="B7" s="7" t="inlineStr">
        <is>
          <t>Véhicule
(plaque)</t>
        </is>
      </c>
      <c r="C7" s="7" t="inlineStr">
        <is>
          <t>Chauffeur</t>
        </is>
      </c>
      <c r="D7" s="7" t="inlineStr">
        <is>
          <t>Km début</t>
        </is>
      </c>
      <c r="E7" s="7" t="inlineStr">
        <is>
          <t>Km fin</t>
        </is>
      </c>
      <c r="F7" s="7" t="inlineStr">
        <is>
          <t>Distance
(km)</t>
        </is>
      </c>
      <c r="G7" s="7" t="inlineStr">
        <is>
          <t>Litres</t>
        </is>
      </c>
      <c r="H7" s="7" t="inlineStr">
        <is>
          <t>Montant
(dt)</t>
        </is>
      </c>
      <c r="I7" s="7" t="inlineStr">
        <is>
          <t>Prix / L
(dt)</t>
        </is>
      </c>
      <c r="J7" s="7" t="inlineStr">
        <is>
          <t>Conso
(L/100km)</t>
        </is>
      </c>
      <c r="K7" s="7" t="inlineStr">
        <is>
          <t>Conso réf.
(L/100km)</t>
        </is>
      </c>
      <c r="L7" s="7" t="inlineStr">
        <is>
          <t>Écart</t>
        </is>
      </c>
      <c r="M7" s="7" t="inlineStr">
        <is>
          <t>Alerte</t>
        </is>
      </c>
    </row>
    <row r="8">
      <c r="A8" s="8" t="n">
        <v>46204</v>
      </c>
      <c r="B8" s="9" t="inlineStr">
        <is>
          <t>TU-1234 (EXEMPLE)</t>
        </is>
      </c>
      <c r="C8" s="9" t="inlineStr">
        <is>
          <t>Ali</t>
        </is>
      </c>
      <c r="D8" s="10" t="n">
        <v>120000</v>
      </c>
      <c r="E8" s="10" t="n">
        <v>120520</v>
      </c>
      <c r="F8" s="11">
        <f>IF(OR(D8="",E8=""),"",E8-D8)</f>
        <v/>
      </c>
      <c r="G8" s="10" t="n">
        <v>78</v>
      </c>
      <c r="H8" s="12" t="n">
        <v>195</v>
      </c>
      <c r="I8" s="13">
        <f>IFERROR(H8/G8,"")</f>
        <v/>
      </c>
      <c r="J8" s="14">
        <f>IFERROR(G8/(E8-D8)*100,"")</f>
        <v/>
      </c>
      <c r="K8" s="15" t="n">
        <v>13</v>
      </c>
      <c r="L8" s="16">
        <f>IFERROR((J8-K8)/K8,"")</f>
        <v/>
      </c>
      <c r="M8" s="17">
        <f>IF(OR(J8="",K8=""),"",IF((J8-K8)/K8&gt;$D$4,"VERIFIER","OK"))</f>
        <v/>
      </c>
    </row>
    <row r="9">
      <c r="A9" s="18" t="n"/>
      <c r="B9" s="19" t="n"/>
      <c r="C9" s="19" t="n"/>
      <c r="D9" s="20" t="n"/>
      <c r="E9" s="20" t="n"/>
      <c r="F9" s="21">
        <f>IF(OR(D9="",E9=""),"",E9-D9)</f>
        <v/>
      </c>
      <c r="G9" s="20" t="n"/>
      <c r="H9" s="22" t="n"/>
      <c r="I9" s="23">
        <f>IFERROR(H9/G9,"")</f>
        <v/>
      </c>
      <c r="J9" s="24">
        <f>IFERROR(G9/(E9-D9)*100,"")</f>
        <v/>
      </c>
      <c r="K9" s="25" t="n"/>
      <c r="L9" s="26">
        <f>IFERROR((J9-K9)/K9,"")</f>
        <v/>
      </c>
      <c r="M9" s="27">
        <f>IF(OR(J9="",K9=""),"",IF((J9-K9)/K9&gt;$D$4,"VERIFIER","OK"))</f>
        <v/>
      </c>
    </row>
    <row r="10">
      <c r="A10" s="18" t="n"/>
      <c r="B10" s="19" t="n"/>
      <c r="C10" s="19" t="n"/>
      <c r="D10" s="20" t="n"/>
      <c r="E10" s="20" t="n"/>
      <c r="F10" s="21">
        <f>IF(OR(D10="",E10=""),"",E10-D10)</f>
        <v/>
      </c>
      <c r="G10" s="20" t="n"/>
      <c r="H10" s="22" t="n"/>
      <c r="I10" s="23">
        <f>IFERROR(H10/G10,"")</f>
        <v/>
      </c>
      <c r="J10" s="24">
        <f>IFERROR(G10/(E10-D10)*100,"")</f>
        <v/>
      </c>
      <c r="K10" s="25" t="n"/>
      <c r="L10" s="26">
        <f>IFERROR((J10-K10)/K10,"")</f>
        <v/>
      </c>
      <c r="M10" s="27">
        <f>IF(OR(J10="",K10=""),"",IF((J10-K10)/K10&gt;$D$4,"VERIFIER","OK"))</f>
        <v/>
      </c>
    </row>
    <row r="11">
      <c r="A11" s="18" t="n"/>
      <c r="B11" s="19" t="n"/>
      <c r="C11" s="19" t="n"/>
      <c r="D11" s="20" t="n"/>
      <c r="E11" s="20" t="n"/>
      <c r="F11" s="21">
        <f>IF(OR(D11="",E11=""),"",E11-D11)</f>
        <v/>
      </c>
      <c r="G11" s="20" t="n"/>
      <c r="H11" s="22" t="n"/>
      <c r="I11" s="23">
        <f>IFERROR(H11/G11,"")</f>
        <v/>
      </c>
      <c r="J11" s="24">
        <f>IFERROR(G11/(E11-D11)*100,"")</f>
        <v/>
      </c>
      <c r="K11" s="25" t="n"/>
      <c r="L11" s="26">
        <f>IFERROR((J11-K11)/K11,"")</f>
        <v/>
      </c>
      <c r="M11" s="27">
        <f>IF(OR(J11="",K11=""),"",IF((J11-K11)/K11&gt;$D$4,"VERIFIER","OK"))</f>
        <v/>
      </c>
    </row>
    <row r="12">
      <c r="A12" s="18" t="n"/>
      <c r="B12" s="19" t="n"/>
      <c r="C12" s="19" t="n"/>
      <c r="D12" s="20" t="n"/>
      <c r="E12" s="20" t="n"/>
      <c r="F12" s="21">
        <f>IF(OR(D12="",E12=""),"",E12-D12)</f>
        <v/>
      </c>
      <c r="G12" s="20" t="n"/>
      <c r="H12" s="22" t="n"/>
      <c r="I12" s="23">
        <f>IFERROR(H12/G12,"")</f>
        <v/>
      </c>
      <c r="J12" s="24">
        <f>IFERROR(G12/(E12-D12)*100,"")</f>
        <v/>
      </c>
      <c r="K12" s="25" t="n"/>
      <c r="L12" s="26">
        <f>IFERROR((J12-K12)/K12,"")</f>
        <v/>
      </c>
      <c r="M12" s="27">
        <f>IF(OR(J12="",K12=""),"",IF((J12-K12)/K12&gt;$D$4,"VERIFIER","OK"))</f>
        <v/>
      </c>
    </row>
    <row r="13">
      <c r="A13" s="18" t="n"/>
      <c r="B13" s="19" t="n"/>
      <c r="C13" s="19" t="n"/>
      <c r="D13" s="20" t="n"/>
      <c r="E13" s="20" t="n"/>
      <c r="F13" s="21">
        <f>IF(OR(D13="",E13=""),"",E13-D13)</f>
        <v/>
      </c>
      <c r="G13" s="20" t="n"/>
      <c r="H13" s="22" t="n"/>
      <c r="I13" s="23">
        <f>IFERROR(H13/G13,"")</f>
        <v/>
      </c>
      <c r="J13" s="24">
        <f>IFERROR(G13/(E13-D13)*100,"")</f>
        <v/>
      </c>
      <c r="K13" s="25" t="n"/>
      <c r="L13" s="26">
        <f>IFERROR((J13-K13)/K13,"")</f>
        <v/>
      </c>
      <c r="M13" s="27">
        <f>IF(OR(J13="",K13=""),"",IF((J13-K13)/K13&gt;$D$4,"VERIFIER","OK"))</f>
        <v/>
      </c>
    </row>
    <row r="14">
      <c r="A14" s="18" t="n"/>
      <c r="B14" s="19" t="n"/>
      <c r="C14" s="19" t="n"/>
      <c r="D14" s="20" t="n"/>
      <c r="E14" s="20" t="n"/>
      <c r="F14" s="21">
        <f>IF(OR(D14="",E14=""),"",E14-D14)</f>
        <v/>
      </c>
      <c r="G14" s="20" t="n"/>
      <c r="H14" s="22" t="n"/>
      <c r="I14" s="23">
        <f>IFERROR(H14/G14,"")</f>
        <v/>
      </c>
      <c r="J14" s="24">
        <f>IFERROR(G14/(E14-D14)*100,"")</f>
        <v/>
      </c>
      <c r="K14" s="25" t="n"/>
      <c r="L14" s="26">
        <f>IFERROR((J14-K14)/K14,"")</f>
        <v/>
      </c>
      <c r="M14" s="27">
        <f>IF(OR(J14="",K14=""),"",IF((J14-K14)/K14&gt;$D$4,"VERIFIER","OK"))</f>
        <v/>
      </c>
    </row>
    <row r="15">
      <c r="A15" s="18" t="n"/>
      <c r="B15" s="19" t="n"/>
      <c r="C15" s="19" t="n"/>
      <c r="D15" s="20" t="n"/>
      <c r="E15" s="20" t="n"/>
      <c r="F15" s="21">
        <f>IF(OR(D15="",E15=""),"",E15-D15)</f>
        <v/>
      </c>
      <c r="G15" s="20" t="n"/>
      <c r="H15" s="22" t="n"/>
      <c r="I15" s="23">
        <f>IFERROR(H15/G15,"")</f>
        <v/>
      </c>
      <c r="J15" s="24">
        <f>IFERROR(G15/(E15-D15)*100,"")</f>
        <v/>
      </c>
      <c r="K15" s="25" t="n"/>
      <c r="L15" s="26">
        <f>IFERROR((J15-K15)/K15,"")</f>
        <v/>
      </c>
      <c r="M15" s="27">
        <f>IF(OR(J15="",K15=""),"",IF((J15-K15)/K15&gt;$D$4,"VERIFIER","OK"))</f>
        <v/>
      </c>
    </row>
    <row r="16">
      <c r="A16" s="18" t="n"/>
      <c r="B16" s="19" t="n"/>
      <c r="C16" s="19" t="n"/>
      <c r="D16" s="20" t="n"/>
      <c r="E16" s="20" t="n"/>
      <c r="F16" s="21">
        <f>IF(OR(D16="",E16=""),"",E16-D16)</f>
        <v/>
      </c>
      <c r="G16" s="20" t="n"/>
      <c r="H16" s="22" t="n"/>
      <c r="I16" s="23">
        <f>IFERROR(H16/G16,"")</f>
        <v/>
      </c>
      <c r="J16" s="24">
        <f>IFERROR(G16/(E16-D16)*100,"")</f>
        <v/>
      </c>
      <c r="K16" s="25" t="n"/>
      <c r="L16" s="26">
        <f>IFERROR((J16-K16)/K16,"")</f>
        <v/>
      </c>
      <c r="M16" s="27">
        <f>IF(OR(J16="",K16=""),"",IF((J16-K16)/K16&gt;$D$4,"VERIFIER","OK"))</f>
        <v/>
      </c>
    </row>
    <row r="17">
      <c r="A17" s="18" t="n"/>
      <c r="B17" s="19" t="n"/>
      <c r="C17" s="19" t="n"/>
      <c r="D17" s="20" t="n"/>
      <c r="E17" s="20" t="n"/>
      <c r="F17" s="21">
        <f>IF(OR(D17="",E17=""),"",E17-D17)</f>
        <v/>
      </c>
      <c r="G17" s="20" t="n"/>
      <c r="H17" s="22" t="n"/>
      <c r="I17" s="23">
        <f>IFERROR(H17/G17,"")</f>
        <v/>
      </c>
      <c r="J17" s="24">
        <f>IFERROR(G17/(E17-D17)*100,"")</f>
        <v/>
      </c>
      <c r="K17" s="25" t="n"/>
      <c r="L17" s="26">
        <f>IFERROR((J17-K17)/K17,"")</f>
        <v/>
      </c>
      <c r="M17" s="27">
        <f>IF(OR(J17="",K17=""),"",IF((J17-K17)/K17&gt;$D$4,"VERIFIER","OK"))</f>
        <v/>
      </c>
    </row>
    <row r="18">
      <c r="A18" s="18" t="n"/>
      <c r="B18" s="19" t="n"/>
      <c r="C18" s="19" t="n"/>
      <c r="D18" s="20" t="n"/>
      <c r="E18" s="20" t="n"/>
      <c r="F18" s="21">
        <f>IF(OR(D18="",E18=""),"",E18-D18)</f>
        <v/>
      </c>
      <c r="G18" s="20" t="n"/>
      <c r="H18" s="22" t="n"/>
      <c r="I18" s="23">
        <f>IFERROR(H18/G18,"")</f>
        <v/>
      </c>
      <c r="J18" s="24">
        <f>IFERROR(G18/(E18-D18)*100,"")</f>
        <v/>
      </c>
      <c r="K18" s="25" t="n"/>
      <c r="L18" s="26">
        <f>IFERROR((J18-K18)/K18,"")</f>
        <v/>
      </c>
      <c r="M18" s="27">
        <f>IF(OR(J18="",K18=""),"",IF((J18-K18)/K18&gt;$D$4,"VERIFIER","OK"))</f>
        <v/>
      </c>
    </row>
    <row r="19">
      <c r="A19" s="18" t="n"/>
      <c r="B19" s="19" t="n"/>
      <c r="C19" s="19" t="n"/>
      <c r="D19" s="20" t="n"/>
      <c r="E19" s="20" t="n"/>
      <c r="F19" s="21">
        <f>IF(OR(D19="",E19=""),"",E19-D19)</f>
        <v/>
      </c>
      <c r="G19" s="20" t="n"/>
      <c r="H19" s="22" t="n"/>
      <c r="I19" s="23">
        <f>IFERROR(H19/G19,"")</f>
        <v/>
      </c>
      <c r="J19" s="24">
        <f>IFERROR(G19/(E19-D19)*100,"")</f>
        <v/>
      </c>
      <c r="K19" s="25" t="n"/>
      <c r="L19" s="26">
        <f>IFERROR((J19-K19)/K19,"")</f>
        <v/>
      </c>
      <c r="M19" s="27">
        <f>IF(OR(J19="",K19=""),"",IF((J19-K19)/K19&gt;$D$4,"VERIFIER","OK"))</f>
        <v/>
      </c>
    </row>
    <row r="20">
      <c r="A20" s="18" t="n"/>
      <c r="B20" s="19" t="n"/>
      <c r="C20" s="19" t="n"/>
      <c r="D20" s="20" t="n"/>
      <c r="E20" s="20" t="n"/>
      <c r="F20" s="21">
        <f>IF(OR(D20="",E20=""),"",E20-D20)</f>
        <v/>
      </c>
      <c r="G20" s="20" t="n"/>
      <c r="H20" s="22" t="n"/>
      <c r="I20" s="23">
        <f>IFERROR(H20/G20,"")</f>
        <v/>
      </c>
      <c r="J20" s="24">
        <f>IFERROR(G20/(E20-D20)*100,"")</f>
        <v/>
      </c>
      <c r="K20" s="25" t="n"/>
      <c r="L20" s="26">
        <f>IFERROR((J20-K20)/K20,"")</f>
        <v/>
      </c>
      <c r="M20" s="27">
        <f>IF(OR(J20="",K20=""),"",IF((J20-K20)/K20&gt;$D$4,"VERIFIER","OK"))</f>
        <v/>
      </c>
    </row>
    <row r="21">
      <c r="A21" s="18" t="n"/>
      <c r="B21" s="19" t="n"/>
      <c r="C21" s="19" t="n"/>
      <c r="D21" s="20" t="n"/>
      <c r="E21" s="20" t="n"/>
      <c r="F21" s="21">
        <f>IF(OR(D21="",E21=""),"",E21-D21)</f>
        <v/>
      </c>
      <c r="G21" s="20" t="n"/>
      <c r="H21" s="22" t="n"/>
      <c r="I21" s="23">
        <f>IFERROR(H21/G21,"")</f>
        <v/>
      </c>
      <c r="J21" s="24">
        <f>IFERROR(G21/(E21-D21)*100,"")</f>
        <v/>
      </c>
      <c r="K21" s="25" t="n"/>
      <c r="L21" s="26">
        <f>IFERROR((J21-K21)/K21,"")</f>
        <v/>
      </c>
      <c r="M21" s="27">
        <f>IF(OR(J21="",K21=""),"",IF((J21-K21)/K21&gt;$D$4,"VERIFIER","OK"))</f>
        <v/>
      </c>
    </row>
    <row r="22">
      <c r="A22" s="18" t="n"/>
      <c r="B22" s="19" t="n"/>
      <c r="C22" s="19" t="n"/>
      <c r="D22" s="20" t="n"/>
      <c r="E22" s="20" t="n"/>
      <c r="F22" s="21">
        <f>IF(OR(D22="",E22=""),"",E22-D22)</f>
        <v/>
      </c>
      <c r="G22" s="20" t="n"/>
      <c r="H22" s="22" t="n"/>
      <c r="I22" s="23">
        <f>IFERROR(H22/G22,"")</f>
        <v/>
      </c>
      <c r="J22" s="24">
        <f>IFERROR(G22/(E22-D22)*100,"")</f>
        <v/>
      </c>
      <c r="K22" s="25" t="n"/>
      <c r="L22" s="26">
        <f>IFERROR((J22-K22)/K22,"")</f>
        <v/>
      </c>
      <c r="M22" s="27">
        <f>IF(OR(J22="",K22=""),"",IF((J22-K22)/K22&gt;$D$4,"VERIFIER","OK"))</f>
        <v/>
      </c>
    </row>
    <row r="23">
      <c r="A23" s="18" t="n"/>
      <c r="B23" s="19" t="n"/>
      <c r="C23" s="19" t="n"/>
      <c r="D23" s="20" t="n"/>
      <c r="E23" s="20" t="n"/>
      <c r="F23" s="21">
        <f>IF(OR(D23="",E23=""),"",E23-D23)</f>
        <v/>
      </c>
      <c r="G23" s="20" t="n"/>
      <c r="H23" s="22" t="n"/>
      <c r="I23" s="23">
        <f>IFERROR(H23/G23,"")</f>
        <v/>
      </c>
      <c r="J23" s="24">
        <f>IFERROR(G23/(E23-D23)*100,"")</f>
        <v/>
      </c>
      <c r="K23" s="25" t="n"/>
      <c r="L23" s="26">
        <f>IFERROR((J23-K23)/K23,"")</f>
        <v/>
      </c>
      <c r="M23" s="27">
        <f>IF(OR(J23="",K23=""),"",IF((J23-K23)/K23&gt;$D$4,"VERIFIER","OK"))</f>
        <v/>
      </c>
    </row>
    <row r="24">
      <c r="A24" s="18" t="n"/>
      <c r="B24" s="19" t="n"/>
      <c r="C24" s="19" t="n"/>
      <c r="D24" s="20" t="n"/>
      <c r="E24" s="20" t="n"/>
      <c r="F24" s="21">
        <f>IF(OR(D24="",E24=""),"",E24-D24)</f>
        <v/>
      </c>
      <c r="G24" s="20" t="n"/>
      <c r="H24" s="22" t="n"/>
      <c r="I24" s="23">
        <f>IFERROR(H24/G24,"")</f>
        <v/>
      </c>
      <c r="J24" s="24">
        <f>IFERROR(G24/(E24-D24)*100,"")</f>
        <v/>
      </c>
      <c r="K24" s="25" t="n"/>
      <c r="L24" s="26">
        <f>IFERROR((J24-K24)/K24,"")</f>
        <v/>
      </c>
      <c r="M24" s="27">
        <f>IF(OR(J24="",K24=""),"",IF((J24-K24)/K24&gt;$D$4,"VERIFIER","OK"))</f>
        <v/>
      </c>
    </row>
    <row r="25">
      <c r="A25" s="18" t="n"/>
      <c r="B25" s="19" t="n"/>
      <c r="C25" s="19" t="n"/>
      <c r="D25" s="20" t="n"/>
      <c r="E25" s="20" t="n"/>
      <c r="F25" s="21">
        <f>IF(OR(D25="",E25=""),"",E25-D25)</f>
        <v/>
      </c>
      <c r="G25" s="20" t="n"/>
      <c r="H25" s="22" t="n"/>
      <c r="I25" s="23">
        <f>IFERROR(H25/G25,"")</f>
        <v/>
      </c>
      <c r="J25" s="24">
        <f>IFERROR(G25/(E25-D25)*100,"")</f>
        <v/>
      </c>
      <c r="K25" s="25" t="n"/>
      <c r="L25" s="26">
        <f>IFERROR((J25-K25)/K25,"")</f>
        <v/>
      </c>
      <c r="M25" s="27">
        <f>IF(OR(J25="",K25=""),"",IF((J25-K25)/K25&gt;$D$4,"VERIFIER","OK"))</f>
        <v/>
      </c>
    </row>
    <row r="26">
      <c r="A26" s="18" t="n"/>
      <c r="B26" s="19" t="n"/>
      <c r="C26" s="19" t="n"/>
      <c r="D26" s="20" t="n"/>
      <c r="E26" s="20" t="n"/>
      <c r="F26" s="21">
        <f>IF(OR(D26="",E26=""),"",E26-D26)</f>
        <v/>
      </c>
      <c r="G26" s="20" t="n"/>
      <c r="H26" s="22" t="n"/>
      <c r="I26" s="23">
        <f>IFERROR(H26/G26,"")</f>
        <v/>
      </c>
      <c r="J26" s="24">
        <f>IFERROR(G26/(E26-D26)*100,"")</f>
        <v/>
      </c>
      <c r="K26" s="25" t="n"/>
      <c r="L26" s="26">
        <f>IFERROR((J26-K26)/K26,"")</f>
        <v/>
      </c>
      <c r="M26" s="27">
        <f>IF(OR(J26="",K26=""),"",IF((J26-K26)/K26&gt;$D$4,"VERIFIER","OK"))</f>
        <v/>
      </c>
    </row>
    <row r="27">
      <c r="A27" s="18" t="n"/>
      <c r="B27" s="19" t="n"/>
      <c r="C27" s="19" t="n"/>
      <c r="D27" s="20" t="n"/>
      <c r="E27" s="20" t="n"/>
      <c r="F27" s="21">
        <f>IF(OR(D27="",E27=""),"",E27-D27)</f>
        <v/>
      </c>
      <c r="G27" s="20" t="n"/>
      <c r="H27" s="22" t="n"/>
      <c r="I27" s="23">
        <f>IFERROR(H27/G27,"")</f>
        <v/>
      </c>
      <c r="J27" s="24">
        <f>IFERROR(G27/(E27-D27)*100,"")</f>
        <v/>
      </c>
      <c r="K27" s="25" t="n"/>
      <c r="L27" s="26">
        <f>IFERROR((J27-K27)/K27,"")</f>
        <v/>
      </c>
      <c r="M27" s="27">
        <f>IF(OR(J27="",K27=""),"",IF((J27-K27)/K27&gt;$D$4,"VERIFIER","OK"))</f>
        <v/>
      </c>
    </row>
    <row r="28">
      <c r="A28" s="18" t="n"/>
      <c r="B28" s="19" t="n"/>
      <c r="C28" s="19" t="n"/>
      <c r="D28" s="20" t="n"/>
      <c r="E28" s="20" t="n"/>
      <c r="F28" s="21">
        <f>IF(OR(D28="",E28=""),"",E28-D28)</f>
        <v/>
      </c>
      <c r="G28" s="20" t="n"/>
      <c r="H28" s="22" t="n"/>
      <c r="I28" s="23">
        <f>IFERROR(H28/G28,"")</f>
        <v/>
      </c>
      <c r="J28" s="24">
        <f>IFERROR(G28/(E28-D28)*100,"")</f>
        <v/>
      </c>
      <c r="K28" s="25" t="n"/>
      <c r="L28" s="26">
        <f>IFERROR((J28-K28)/K28,"")</f>
        <v/>
      </c>
      <c r="M28" s="27">
        <f>IF(OR(J28="",K28=""),"",IF((J28-K28)/K28&gt;$D$4,"VERIFIER","OK"))</f>
        <v/>
      </c>
    </row>
    <row r="29">
      <c r="A29" s="18" t="n"/>
      <c r="B29" s="19" t="n"/>
      <c r="C29" s="19" t="n"/>
      <c r="D29" s="20" t="n"/>
      <c r="E29" s="20" t="n"/>
      <c r="F29" s="21">
        <f>IF(OR(D29="",E29=""),"",E29-D29)</f>
        <v/>
      </c>
      <c r="G29" s="20" t="n"/>
      <c r="H29" s="22" t="n"/>
      <c r="I29" s="23">
        <f>IFERROR(H29/G29,"")</f>
        <v/>
      </c>
      <c r="J29" s="24">
        <f>IFERROR(G29/(E29-D29)*100,"")</f>
        <v/>
      </c>
      <c r="K29" s="25" t="n"/>
      <c r="L29" s="26">
        <f>IFERROR((J29-K29)/K29,"")</f>
        <v/>
      </c>
      <c r="M29" s="27">
        <f>IF(OR(J29="",K29=""),"",IF((J29-K29)/K29&gt;$D$4,"VERIFIER","OK"))</f>
        <v/>
      </c>
    </row>
    <row r="30">
      <c r="A30" s="18" t="n"/>
      <c r="B30" s="19" t="n"/>
      <c r="C30" s="19" t="n"/>
      <c r="D30" s="20" t="n"/>
      <c r="E30" s="20" t="n"/>
      <c r="F30" s="21">
        <f>IF(OR(D30="",E30=""),"",E30-D30)</f>
        <v/>
      </c>
      <c r="G30" s="20" t="n"/>
      <c r="H30" s="22" t="n"/>
      <c r="I30" s="23">
        <f>IFERROR(H30/G30,"")</f>
        <v/>
      </c>
      <c r="J30" s="24">
        <f>IFERROR(G30/(E30-D30)*100,"")</f>
        <v/>
      </c>
      <c r="K30" s="25" t="n"/>
      <c r="L30" s="26">
        <f>IFERROR((J30-K30)/K30,"")</f>
        <v/>
      </c>
      <c r="M30" s="27">
        <f>IF(OR(J30="",K30=""),"",IF((J30-K30)/K30&gt;$D$4,"VERIFIER","OK"))</f>
        <v/>
      </c>
    </row>
    <row r="31">
      <c r="A31" s="18" t="n"/>
      <c r="B31" s="19" t="n"/>
      <c r="C31" s="19" t="n"/>
      <c r="D31" s="20" t="n"/>
      <c r="E31" s="20" t="n"/>
      <c r="F31" s="21">
        <f>IF(OR(D31="",E31=""),"",E31-D31)</f>
        <v/>
      </c>
      <c r="G31" s="20" t="n"/>
      <c r="H31" s="22" t="n"/>
      <c r="I31" s="23">
        <f>IFERROR(H31/G31,"")</f>
        <v/>
      </c>
      <c r="J31" s="24">
        <f>IFERROR(G31/(E31-D31)*100,"")</f>
        <v/>
      </c>
      <c r="K31" s="25" t="n"/>
      <c r="L31" s="26">
        <f>IFERROR((J31-K31)/K31,"")</f>
        <v/>
      </c>
      <c r="M31" s="27">
        <f>IF(OR(J31="",K31=""),"",IF((J31-K31)/K31&gt;$D$4,"VERIFIER","OK"))</f>
        <v/>
      </c>
    </row>
    <row r="32">
      <c r="A32" s="18" t="n"/>
      <c r="B32" s="19" t="n"/>
      <c r="C32" s="19" t="n"/>
      <c r="D32" s="20" t="n"/>
      <c r="E32" s="20" t="n"/>
      <c r="F32" s="21">
        <f>IF(OR(D32="",E32=""),"",E32-D32)</f>
        <v/>
      </c>
      <c r="G32" s="20" t="n"/>
      <c r="H32" s="22" t="n"/>
      <c r="I32" s="23">
        <f>IFERROR(H32/G32,"")</f>
        <v/>
      </c>
      <c r="J32" s="24">
        <f>IFERROR(G32/(E32-D32)*100,"")</f>
        <v/>
      </c>
      <c r="K32" s="25" t="n"/>
      <c r="L32" s="26">
        <f>IFERROR((J32-K32)/K32,"")</f>
        <v/>
      </c>
      <c r="M32" s="27">
        <f>IF(OR(J32="",K32=""),"",IF((J32-K32)/K32&gt;$D$4,"VERIFIER","OK"))</f>
        <v/>
      </c>
    </row>
    <row r="33">
      <c r="A33" s="18" t="n"/>
      <c r="B33" s="19" t="n"/>
      <c r="C33" s="19" t="n"/>
      <c r="D33" s="20" t="n"/>
      <c r="E33" s="20" t="n"/>
      <c r="F33" s="21">
        <f>IF(OR(D33="",E33=""),"",E33-D33)</f>
        <v/>
      </c>
      <c r="G33" s="20" t="n"/>
      <c r="H33" s="22" t="n"/>
      <c r="I33" s="23">
        <f>IFERROR(H33/G33,"")</f>
        <v/>
      </c>
      <c r="J33" s="24">
        <f>IFERROR(G33/(E33-D33)*100,"")</f>
        <v/>
      </c>
      <c r="K33" s="25" t="n"/>
      <c r="L33" s="26">
        <f>IFERROR((J33-K33)/K33,"")</f>
        <v/>
      </c>
      <c r="M33" s="27">
        <f>IF(OR(J33="",K33=""),"",IF((J33-K33)/K33&gt;$D$4,"VERIFIER","OK"))</f>
        <v/>
      </c>
    </row>
    <row r="34">
      <c r="A34" s="18" t="n"/>
      <c r="B34" s="19" t="n"/>
      <c r="C34" s="19" t="n"/>
      <c r="D34" s="20" t="n"/>
      <c r="E34" s="20" t="n"/>
      <c r="F34" s="21">
        <f>IF(OR(D34="",E34=""),"",E34-D34)</f>
        <v/>
      </c>
      <c r="G34" s="20" t="n"/>
      <c r="H34" s="22" t="n"/>
      <c r="I34" s="23">
        <f>IFERROR(H34/G34,"")</f>
        <v/>
      </c>
      <c r="J34" s="24">
        <f>IFERROR(G34/(E34-D34)*100,"")</f>
        <v/>
      </c>
      <c r="K34" s="25" t="n"/>
      <c r="L34" s="26">
        <f>IFERROR((J34-K34)/K34,"")</f>
        <v/>
      </c>
      <c r="M34" s="27">
        <f>IF(OR(J34="",K34=""),"",IF((J34-K34)/K34&gt;$D$4,"VERIFIER","OK"))</f>
        <v/>
      </c>
    </row>
    <row r="35">
      <c r="A35" s="18" t="n"/>
      <c r="B35" s="19" t="n"/>
      <c r="C35" s="19" t="n"/>
      <c r="D35" s="20" t="n"/>
      <c r="E35" s="20" t="n"/>
      <c r="F35" s="21">
        <f>IF(OR(D35="",E35=""),"",E35-D35)</f>
        <v/>
      </c>
      <c r="G35" s="20" t="n"/>
      <c r="H35" s="22" t="n"/>
      <c r="I35" s="23">
        <f>IFERROR(H35/G35,"")</f>
        <v/>
      </c>
      <c r="J35" s="24">
        <f>IFERROR(G35/(E35-D35)*100,"")</f>
        <v/>
      </c>
      <c r="K35" s="25" t="n"/>
      <c r="L35" s="26">
        <f>IFERROR((J35-K35)/K35,"")</f>
        <v/>
      </c>
      <c r="M35" s="27">
        <f>IF(OR(J35="",K35=""),"",IF((J35-K35)/K35&gt;$D$4,"VERIFIER","OK"))</f>
        <v/>
      </c>
    </row>
    <row r="36">
      <c r="A36" s="18" t="n"/>
      <c r="B36" s="19" t="n"/>
      <c r="C36" s="19" t="n"/>
      <c r="D36" s="20" t="n"/>
      <c r="E36" s="20" t="n"/>
      <c r="F36" s="21">
        <f>IF(OR(D36="",E36=""),"",E36-D36)</f>
        <v/>
      </c>
      <c r="G36" s="20" t="n"/>
      <c r="H36" s="22" t="n"/>
      <c r="I36" s="23">
        <f>IFERROR(H36/G36,"")</f>
        <v/>
      </c>
      <c r="J36" s="24">
        <f>IFERROR(G36/(E36-D36)*100,"")</f>
        <v/>
      </c>
      <c r="K36" s="25" t="n"/>
      <c r="L36" s="26">
        <f>IFERROR((J36-K36)/K36,"")</f>
        <v/>
      </c>
      <c r="M36" s="27">
        <f>IF(OR(J36="",K36=""),"",IF((J36-K36)/K36&gt;$D$4,"VERIFIER","OK"))</f>
        <v/>
      </c>
    </row>
    <row r="37">
      <c r="A37" s="18" t="n"/>
      <c r="B37" s="19" t="n"/>
      <c r="C37" s="19" t="n"/>
      <c r="D37" s="20" t="n"/>
      <c r="E37" s="20" t="n"/>
      <c r="F37" s="21">
        <f>IF(OR(D37="",E37=""),"",E37-D37)</f>
        <v/>
      </c>
      <c r="G37" s="20" t="n"/>
      <c r="H37" s="22" t="n"/>
      <c r="I37" s="23">
        <f>IFERROR(H37/G37,"")</f>
        <v/>
      </c>
      <c r="J37" s="24">
        <f>IFERROR(G37/(E37-D37)*100,"")</f>
        <v/>
      </c>
      <c r="K37" s="25" t="n"/>
      <c r="L37" s="26">
        <f>IFERROR((J37-K37)/K37,"")</f>
        <v/>
      </c>
      <c r="M37" s="27">
        <f>IF(OR(J37="",K37=""),"",IF((J37-K37)/K37&gt;$D$4,"VERIFIER","OK"))</f>
        <v/>
      </c>
    </row>
    <row r="38">
      <c r="A38" s="18" t="n"/>
      <c r="B38" s="19" t="n"/>
      <c r="C38" s="19" t="n"/>
      <c r="D38" s="20" t="n"/>
      <c r="E38" s="20" t="n"/>
      <c r="F38" s="21">
        <f>IF(OR(D38="",E38=""),"",E38-D38)</f>
        <v/>
      </c>
      <c r="G38" s="20" t="n"/>
      <c r="H38" s="22" t="n"/>
      <c r="I38" s="23">
        <f>IFERROR(H38/G38,"")</f>
        <v/>
      </c>
      <c r="J38" s="24">
        <f>IFERROR(G38/(E38-D38)*100,"")</f>
        <v/>
      </c>
      <c r="K38" s="25" t="n"/>
      <c r="L38" s="26">
        <f>IFERROR((J38-K38)/K38,"")</f>
        <v/>
      </c>
      <c r="M38" s="27">
        <f>IF(OR(J38="",K38=""),"",IF((J38-K38)/K38&gt;$D$4,"VERIFIER","OK"))</f>
        <v/>
      </c>
    </row>
    <row r="39">
      <c r="A39" s="18" t="n"/>
      <c r="B39" s="19" t="n"/>
      <c r="C39" s="19" t="n"/>
      <c r="D39" s="20" t="n"/>
      <c r="E39" s="20" t="n"/>
      <c r="F39" s="21">
        <f>IF(OR(D39="",E39=""),"",E39-D39)</f>
        <v/>
      </c>
      <c r="G39" s="20" t="n"/>
      <c r="H39" s="22" t="n"/>
      <c r="I39" s="23">
        <f>IFERROR(H39/G39,"")</f>
        <v/>
      </c>
      <c r="J39" s="24">
        <f>IFERROR(G39/(E39-D39)*100,"")</f>
        <v/>
      </c>
      <c r="K39" s="25" t="n"/>
      <c r="L39" s="26">
        <f>IFERROR((J39-K39)/K39,"")</f>
        <v/>
      </c>
      <c r="M39" s="27">
        <f>IF(OR(J39="",K39=""),"",IF((J39-K39)/K39&gt;$D$4,"VERIFIER","OK"))</f>
        <v/>
      </c>
    </row>
    <row r="40">
      <c r="A40" s="18" t="n"/>
      <c r="B40" s="19" t="n"/>
      <c r="C40" s="19" t="n"/>
      <c r="D40" s="20" t="n"/>
      <c r="E40" s="20" t="n"/>
      <c r="F40" s="21">
        <f>IF(OR(D40="",E40=""),"",E40-D40)</f>
        <v/>
      </c>
      <c r="G40" s="20" t="n"/>
      <c r="H40" s="22" t="n"/>
      <c r="I40" s="23">
        <f>IFERROR(H40/G40,"")</f>
        <v/>
      </c>
      <c r="J40" s="24">
        <f>IFERROR(G40/(E40-D40)*100,"")</f>
        <v/>
      </c>
      <c r="K40" s="25" t="n"/>
      <c r="L40" s="26">
        <f>IFERROR((J40-K40)/K40,"")</f>
        <v/>
      </c>
      <c r="M40" s="27">
        <f>IF(OR(J40="",K40=""),"",IF((J40-K40)/K40&gt;$D$4,"VERIFIER","OK"))</f>
        <v/>
      </c>
    </row>
    <row r="41">
      <c r="A41" s="18" t="n"/>
      <c r="B41" s="19" t="n"/>
      <c r="C41" s="19" t="n"/>
      <c r="D41" s="20" t="n"/>
      <c r="E41" s="20" t="n"/>
      <c r="F41" s="21">
        <f>IF(OR(D41="",E41=""),"",E41-D41)</f>
        <v/>
      </c>
      <c r="G41" s="20" t="n"/>
      <c r="H41" s="22" t="n"/>
      <c r="I41" s="23">
        <f>IFERROR(H41/G41,"")</f>
        <v/>
      </c>
      <c r="J41" s="24">
        <f>IFERROR(G41/(E41-D41)*100,"")</f>
        <v/>
      </c>
      <c r="K41" s="25" t="n"/>
      <c r="L41" s="26">
        <f>IFERROR((J41-K41)/K41,"")</f>
        <v/>
      </c>
      <c r="M41" s="27">
        <f>IF(OR(J41="",K41=""),"",IF((J41-K41)/K41&gt;$D$4,"VERIFIER","OK"))</f>
        <v/>
      </c>
    </row>
    <row r="42">
      <c r="A42" s="18" t="n"/>
      <c r="B42" s="19" t="n"/>
      <c r="C42" s="19" t="n"/>
      <c r="D42" s="20" t="n"/>
      <c r="E42" s="20" t="n"/>
      <c r="F42" s="21">
        <f>IF(OR(D42="",E42=""),"",E42-D42)</f>
        <v/>
      </c>
      <c r="G42" s="20" t="n"/>
      <c r="H42" s="22" t="n"/>
      <c r="I42" s="23">
        <f>IFERROR(H42/G42,"")</f>
        <v/>
      </c>
      <c r="J42" s="24">
        <f>IFERROR(G42/(E42-D42)*100,"")</f>
        <v/>
      </c>
      <c r="K42" s="25" t="n"/>
      <c r="L42" s="26">
        <f>IFERROR((J42-K42)/K42,"")</f>
        <v/>
      </c>
      <c r="M42" s="27">
        <f>IF(OR(J42="",K42=""),"",IF((J42-K42)/K42&gt;$D$4,"VERIFIER","OK"))</f>
        <v/>
      </c>
    </row>
    <row r="43">
      <c r="A43" s="18" t="n"/>
      <c r="B43" s="19" t="n"/>
      <c r="C43" s="19" t="n"/>
      <c r="D43" s="20" t="n"/>
      <c r="E43" s="20" t="n"/>
      <c r="F43" s="21">
        <f>IF(OR(D43="",E43=""),"",E43-D43)</f>
        <v/>
      </c>
      <c r="G43" s="20" t="n"/>
      <c r="H43" s="22" t="n"/>
      <c r="I43" s="23">
        <f>IFERROR(H43/G43,"")</f>
        <v/>
      </c>
      <c r="J43" s="24">
        <f>IFERROR(G43/(E43-D43)*100,"")</f>
        <v/>
      </c>
      <c r="K43" s="25" t="n"/>
      <c r="L43" s="26">
        <f>IFERROR((J43-K43)/K43,"")</f>
        <v/>
      </c>
      <c r="M43" s="27">
        <f>IF(OR(J43="",K43=""),"",IF((J43-K43)/K43&gt;$D$4,"VERIFIER","OK"))</f>
        <v/>
      </c>
    </row>
    <row r="44">
      <c r="A44" s="18" t="n"/>
      <c r="B44" s="19" t="n"/>
      <c r="C44" s="19" t="n"/>
      <c r="D44" s="20" t="n"/>
      <c r="E44" s="20" t="n"/>
      <c r="F44" s="21">
        <f>IF(OR(D44="",E44=""),"",E44-D44)</f>
        <v/>
      </c>
      <c r="G44" s="20" t="n"/>
      <c r="H44" s="22" t="n"/>
      <c r="I44" s="23">
        <f>IFERROR(H44/G44,"")</f>
        <v/>
      </c>
      <c r="J44" s="24">
        <f>IFERROR(G44/(E44-D44)*100,"")</f>
        <v/>
      </c>
      <c r="K44" s="25" t="n"/>
      <c r="L44" s="26">
        <f>IFERROR((J44-K44)/K44,"")</f>
        <v/>
      </c>
      <c r="M44" s="27">
        <f>IF(OR(J44="",K44=""),"",IF((J44-K44)/K44&gt;$D$4,"VERIFIER","OK"))</f>
        <v/>
      </c>
    </row>
    <row r="45">
      <c r="A45" s="18" t="n"/>
      <c r="B45" s="19" t="n"/>
      <c r="C45" s="19" t="n"/>
      <c r="D45" s="20" t="n"/>
      <c r="E45" s="20" t="n"/>
      <c r="F45" s="21">
        <f>IF(OR(D45="",E45=""),"",E45-D45)</f>
        <v/>
      </c>
      <c r="G45" s="20" t="n"/>
      <c r="H45" s="22" t="n"/>
      <c r="I45" s="23">
        <f>IFERROR(H45/G45,"")</f>
        <v/>
      </c>
      <c r="J45" s="24">
        <f>IFERROR(G45/(E45-D45)*100,"")</f>
        <v/>
      </c>
      <c r="K45" s="25" t="n"/>
      <c r="L45" s="26">
        <f>IFERROR((J45-K45)/K45,"")</f>
        <v/>
      </c>
      <c r="M45" s="27">
        <f>IF(OR(J45="",K45=""),"",IF((J45-K45)/K45&gt;$D$4,"VERIFIER","OK"))</f>
        <v/>
      </c>
    </row>
    <row r="46">
      <c r="A46" s="18" t="n"/>
      <c r="B46" s="19" t="n"/>
      <c r="C46" s="19" t="n"/>
      <c r="D46" s="20" t="n"/>
      <c r="E46" s="20" t="n"/>
      <c r="F46" s="21">
        <f>IF(OR(D46="",E46=""),"",E46-D46)</f>
        <v/>
      </c>
      <c r="G46" s="20" t="n"/>
      <c r="H46" s="22" t="n"/>
      <c r="I46" s="23">
        <f>IFERROR(H46/G46,"")</f>
        <v/>
      </c>
      <c r="J46" s="24">
        <f>IFERROR(G46/(E46-D46)*100,"")</f>
        <v/>
      </c>
      <c r="K46" s="25" t="n"/>
      <c r="L46" s="26">
        <f>IFERROR((J46-K46)/K46,"")</f>
        <v/>
      </c>
      <c r="M46" s="27">
        <f>IF(OR(J46="",K46=""),"",IF((J46-K46)/K46&gt;$D$4,"VERIFIER","OK"))</f>
        <v/>
      </c>
    </row>
    <row r="47">
      <c r="A47" s="18" t="n"/>
      <c r="B47" s="19" t="n"/>
      <c r="C47" s="19" t="n"/>
      <c r="D47" s="20" t="n"/>
      <c r="E47" s="20" t="n"/>
      <c r="F47" s="21">
        <f>IF(OR(D47="",E47=""),"",E47-D47)</f>
        <v/>
      </c>
      <c r="G47" s="20" t="n"/>
      <c r="H47" s="22" t="n"/>
      <c r="I47" s="23">
        <f>IFERROR(H47/G47,"")</f>
        <v/>
      </c>
      <c r="J47" s="24">
        <f>IFERROR(G47/(E47-D47)*100,"")</f>
        <v/>
      </c>
      <c r="K47" s="25" t="n"/>
      <c r="L47" s="26">
        <f>IFERROR((J47-K47)/K47,"")</f>
        <v/>
      </c>
      <c r="M47" s="27">
        <f>IF(OR(J47="",K47=""),"",IF((J47-K47)/K47&gt;$D$4,"VERIFIER","OK"))</f>
        <v/>
      </c>
    </row>
    <row r="48">
      <c r="A48" s="18" t="n"/>
      <c r="B48" s="19" t="n"/>
      <c r="C48" s="19" t="n"/>
      <c r="D48" s="20" t="n"/>
      <c r="E48" s="20" t="n"/>
      <c r="F48" s="21">
        <f>IF(OR(D48="",E48=""),"",E48-D48)</f>
        <v/>
      </c>
      <c r="G48" s="20" t="n"/>
      <c r="H48" s="22" t="n"/>
      <c r="I48" s="23">
        <f>IFERROR(H48/G48,"")</f>
        <v/>
      </c>
      <c r="J48" s="24">
        <f>IFERROR(G48/(E48-D48)*100,"")</f>
        <v/>
      </c>
      <c r="K48" s="25" t="n"/>
      <c r="L48" s="26">
        <f>IFERROR((J48-K48)/K48,"")</f>
        <v/>
      </c>
      <c r="M48" s="27">
        <f>IF(OR(J48="",K48=""),"",IF((J48-K48)/K48&gt;$D$4,"VERIFIER","OK"))</f>
        <v/>
      </c>
    </row>
    <row r="49">
      <c r="A49" s="18" t="n"/>
      <c r="B49" s="19" t="n"/>
      <c r="C49" s="19" t="n"/>
      <c r="D49" s="20" t="n"/>
      <c r="E49" s="20" t="n"/>
      <c r="F49" s="21">
        <f>IF(OR(D49="",E49=""),"",E49-D49)</f>
        <v/>
      </c>
      <c r="G49" s="20" t="n"/>
      <c r="H49" s="22" t="n"/>
      <c r="I49" s="23">
        <f>IFERROR(H49/G49,"")</f>
        <v/>
      </c>
      <c r="J49" s="24">
        <f>IFERROR(G49/(E49-D49)*100,"")</f>
        <v/>
      </c>
      <c r="K49" s="25" t="n"/>
      <c r="L49" s="26">
        <f>IFERROR((J49-K49)/K49,"")</f>
        <v/>
      </c>
      <c r="M49" s="27">
        <f>IF(OR(J49="",K49=""),"",IF((J49-K49)/K49&gt;$D$4,"VERIFIER","OK"))</f>
        <v/>
      </c>
    </row>
    <row r="50">
      <c r="A50" s="18" t="n"/>
      <c r="B50" s="19" t="n"/>
      <c r="C50" s="19" t="n"/>
      <c r="D50" s="20" t="n"/>
      <c r="E50" s="20" t="n"/>
      <c r="F50" s="21">
        <f>IF(OR(D50="",E50=""),"",E50-D50)</f>
        <v/>
      </c>
      <c r="G50" s="20" t="n"/>
      <c r="H50" s="22" t="n"/>
      <c r="I50" s="23">
        <f>IFERROR(H50/G50,"")</f>
        <v/>
      </c>
      <c r="J50" s="24">
        <f>IFERROR(G50/(E50-D50)*100,"")</f>
        <v/>
      </c>
      <c r="K50" s="25" t="n"/>
      <c r="L50" s="26">
        <f>IFERROR((J50-K50)/K50,"")</f>
        <v/>
      </c>
      <c r="M50" s="27">
        <f>IF(OR(J50="",K50=""),"",IF((J50-K50)/K50&gt;$D$4,"VERIFIER","OK"))</f>
        <v/>
      </c>
    </row>
    <row r="51">
      <c r="A51" s="18" t="n"/>
      <c r="B51" s="19" t="n"/>
      <c r="C51" s="19" t="n"/>
      <c r="D51" s="20" t="n"/>
      <c r="E51" s="20" t="n"/>
      <c r="F51" s="21">
        <f>IF(OR(D51="",E51=""),"",E51-D51)</f>
        <v/>
      </c>
      <c r="G51" s="20" t="n"/>
      <c r="H51" s="22" t="n"/>
      <c r="I51" s="23">
        <f>IFERROR(H51/G51,"")</f>
        <v/>
      </c>
      <c r="J51" s="24">
        <f>IFERROR(G51/(E51-D51)*100,"")</f>
        <v/>
      </c>
      <c r="K51" s="25" t="n"/>
      <c r="L51" s="26">
        <f>IFERROR((J51-K51)/K51,"")</f>
        <v/>
      </c>
      <c r="M51" s="27">
        <f>IF(OR(J51="",K51=""),"",IF((J51-K51)/K51&gt;$D$4,"VERIFIER","OK"))</f>
        <v/>
      </c>
    </row>
    <row r="52">
      <c r="A52" s="18" t="n"/>
      <c r="B52" s="19" t="n"/>
      <c r="C52" s="19" t="n"/>
      <c r="D52" s="20" t="n"/>
      <c r="E52" s="20" t="n"/>
      <c r="F52" s="21">
        <f>IF(OR(D52="",E52=""),"",E52-D52)</f>
        <v/>
      </c>
      <c r="G52" s="20" t="n"/>
      <c r="H52" s="22" t="n"/>
      <c r="I52" s="23">
        <f>IFERROR(H52/G52,"")</f>
        <v/>
      </c>
      <c r="J52" s="24">
        <f>IFERROR(G52/(E52-D52)*100,"")</f>
        <v/>
      </c>
      <c r="K52" s="25" t="n"/>
      <c r="L52" s="26">
        <f>IFERROR((J52-K52)/K52,"")</f>
        <v/>
      </c>
      <c r="M52" s="27">
        <f>IF(OR(J52="",K52=""),"",IF((J52-K52)/K52&gt;$D$4,"VERIFIER","OK"))</f>
        <v/>
      </c>
    </row>
    <row r="53">
      <c r="A53" s="18" t="n"/>
      <c r="B53" s="19" t="n"/>
      <c r="C53" s="19" t="n"/>
      <c r="D53" s="20" t="n"/>
      <c r="E53" s="20" t="n"/>
      <c r="F53" s="21">
        <f>IF(OR(D53="",E53=""),"",E53-D53)</f>
        <v/>
      </c>
      <c r="G53" s="20" t="n"/>
      <c r="H53" s="22" t="n"/>
      <c r="I53" s="23">
        <f>IFERROR(H53/G53,"")</f>
        <v/>
      </c>
      <c r="J53" s="24">
        <f>IFERROR(G53/(E53-D53)*100,"")</f>
        <v/>
      </c>
      <c r="K53" s="25" t="n"/>
      <c r="L53" s="26">
        <f>IFERROR((J53-K53)/K53,"")</f>
        <v/>
      </c>
      <c r="M53" s="27">
        <f>IF(OR(J53="",K53=""),"",IF((J53-K53)/K53&gt;$D$4,"VERIFIER","OK"))</f>
        <v/>
      </c>
    </row>
    <row r="54">
      <c r="A54" s="18" t="n"/>
      <c r="B54" s="19" t="n"/>
      <c r="C54" s="19" t="n"/>
      <c r="D54" s="20" t="n"/>
      <c r="E54" s="20" t="n"/>
      <c r="F54" s="21">
        <f>IF(OR(D54="",E54=""),"",E54-D54)</f>
        <v/>
      </c>
      <c r="G54" s="20" t="n"/>
      <c r="H54" s="22" t="n"/>
      <c r="I54" s="23">
        <f>IFERROR(H54/G54,"")</f>
        <v/>
      </c>
      <c r="J54" s="24">
        <f>IFERROR(G54/(E54-D54)*100,"")</f>
        <v/>
      </c>
      <c r="K54" s="25" t="n"/>
      <c r="L54" s="26">
        <f>IFERROR((J54-K54)/K54,"")</f>
        <v/>
      </c>
      <c r="M54" s="27">
        <f>IF(OR(J54="",K54=""),"",IF((J54-K54)/K54&gt;$D$4,"VERIFIER","OK"))</f>
        <v/>
      </c>
    </row>
    <row r="55">
      <c r="A55" s="18" t="n"/>
      <c r="B55" s="19" t="n"/>
      <c r="C55" s="19" t="n"/>
      <c r="D55" s="20" t="n"/>
      <c r="E55" s="20" t="n"/>
      <c r="F55" s="21">
        <f>IF(OR(D55="",E55=""),"",E55-D55)</f>
        <v/>
      </c>
      <c r="G55" s="20" t="n"/>
      <c r="H55" s="22" t="n"/>
      <c r="I55" s="23">
        <f>IFERROR(H55/G55,"")</f>
        <v/>
      </c>
      <c r="J55" s="24">
        <f>IFERROR(G55/(E55-D55)*100,"")</f>
        <v/>
      </c>
      <c r="K55" s="25" t="n"/>
      <c r="L55" s="26">
        <f>IFERROR((J55-K55)/K55,"")</f>
        <v/>
      </c>
      <c r="M55" s="27">
        <f>IF(OR(J55="",K55=""),"",IF((J55-K55)/K55&gt;$D$4,"VERIFIER","OK"))</f>
        <v/>
      </c>
    </row>
    <row r="56">
      <c r="A56" s="18" t="n"/>
      <c r="B56" s="19" t="n"/>
      <c r="C56" s="19" t="n"/>
      <c r="D56" s="20" t="n"/>
      <c r="E56" s="20" t="n"/>
      <c r="F56" s="21">
        <f>IF(OR(D56="",E56=""),"",E56-D56)</f>
        <v/>
      </c>
      <c r="G56" s="20" t="n"/>
      <c r="H56" s="22" t="n"/>
      <c r="I56" s="23">
        <f>IFERROR(H56/G56,"")</f>
        <v/>
      </c>
      <c r="J56" s="24">
        <f>IFERROR(G56/(E56-D56)*100,"")</f>
        <v/>
      </c>
      <c r="K56" s="25" t="n"/>
      <c r="L56" s="26">
        <f>IFERROR((J56-K56)/K56,"")</f>
        <v/>
      </c>
      <c r="M56" s="27">
        <f>IF(OR(J56="",K56=""),"",IF((J56-K56)/K56&gt;$D$4,"VERIFIER","OK"))</f>
        <v/>
      </c>
    </row>
    <row r="57">
      <c r="A57" s="18" t="n"/>
      <c r="B57" s="19" t="n"/>
      <c r="C57" s="19" t="n"/>
      <c r="D57" s="20" t="n"/>
      <c r="E57" s="20" t="n"/>
      <c r="F57" s="21">
        <f>IF(OR(D57="",E57=""),"",E57-D57)</f>
        <v/>
      </c>
      <c r="G57" s="20" t="n"/>
      <c r="H57" s="22" t="n"/>
      <c r="I57" s="23">
        <f>IFERROR(H57/G57,"")</f>
        <v/>
      </c>
      <c r="J57" s="24">
        <f>IFERROR(G57/(E57-D57)*100,"")</f>
        <v/>
      </c>
      <c r="K57" s="25" t="n"/>
      <c r="L57" s="26">
        <f>IFERROR((J57-K57)/K57,"")</f>
        <v/>
      </c>
      <c r="M57" s="27">
        <f>IF(OR(J57="",K57=""),"",IF((J57-K57)/K57&gt;$D$4,"VERIFIER","OK"))</f>
        <v/>
      </c>
    </row>
    <row r="58">
      <c r="A58" s="18" t="n"/>
      <c r="B58" s="19" t="n"/>
      <c r="C58" s="19" t="n"/>
      <c r="D58" s="20" t="n"/>
      <c r="E58" s="20" t="n"/>
      <c r="F58" s="21">
        <f>IF(OR(D58="",E58=""),"",E58-D58)</f>
        <v/>
      </c>
      <c r="G58" s="20" t="n"/>
      <c r="H58" s="22" t="n"/>
      <c r="I58" s="23">
        <f>IFERROR(H58/G58,"")</f>
        <v/>
      </c>
      <c r="J58" s="24">
        <f>IFERROR(G58/(E58-D58)*100,"")</f>
        <v/>
      </c>
      <c r="K58" s="25" t="n"/>
      <c r="L58" s="26">
        <f>IFERROR((J58-K58)/K58,"")</f>
        <v/>
      </c>
      <c r="M58" s="27">
        <f>IF(OR(J58="",K58=""),"",IF((J58-K58)/K58&gt;$D$4,"VERIFIER","OK"))</f>
        <v/>
      </c>
    </row>
    <row r="59">
      <c r="A59" s="18" t="n"/>
      <c r="B59" s="19" t="n"/>
      <c r="C59" s="19" t="n"/>
      <c r="D59" s="20" t="n"/>
      <c r="E59" s="20" t="n"/>
      <c r="F59" s="21">
        <f>IF(OR(D59="",E59=""),"",E59-D59)</f>
        <v/>
      </c>
      <c r="G59" s="20" t="n"/>
      <c r="H59" s="22" t="n"/>
      <c r="I59" s="23">
        <f>IFERROR(H59/G59,"")</f>
        <v/>
      </c>
      <c r="J59" s="24">
        <f>IFERROR(G59/(E59-D59)*100,"")</f>
        <v/>
      </c>
      <c r="K59" s="25" t="n"/>
      <c r="L59" s="26">
        <f>IFERROR((J59-K59)/K59,"")</f>
        <v/>
      </c>
      <c r="M59" s="27">
        <f>IF(OR(J59="",K59=""),"",IF((J59-K59)/K59&gt;$D$4,"VERIFIER","OK"))</f>
        <v/>
      </c>
    </row>
    <row r="60">
      <c r="A60" s="18" t="n"/>
      <c r="B60" s="19" t="n"/>
      <c r="C60" s="19" t="n"/>
      <c r="D60" s="20" t="n"/>
      <c r="E60" s="20" t="n"/>
      <c r="F60" s="21">
        <f>IF(OR(D60="",E60=""),"",E60-D60)</f>
        <v/>
      </c>
      <c r="G60" s="20" t="n"/>
      <c r="H60" s="22" t="n"/>
      <c r="I60" s="23">
        <f>IFERROR(H60/G60,"")</f>
        <v/>
      </c>
      <c r="J60" s="24">
        <f>IFERROR(G60/(E60-D60)*100,"")</f>
        <v/>
      </c>
      <c r="K60" s="25" t="n"/>
      <c r="L60" s="26">
        <f>IFERROR((J60-K60)/K60,"")</f>
        <v/>
      </c>
      <c r="M60" s="27">
        <f>IF(OR(J60="",K60=""),"",IF((J60-K60)/K60&gt;$D$4,"VERIFIER","OK"))</f>
        <v/>
      </c>
    </row>
    <row r="61">
      <c r="A61" s="18" t="n"/>
      <c r="B61" s="19" t="n"/>
      <c r="C61" s="19" t="n"/>
      <c r="D61" s="20" t="n"/>
      <c r="E61" s="20" t="n"/>
      <c r="F61" s="21">
        <f>IF(OR(D61="",E61=""),"",E61-D61)</f>
        <v/>
      </c>
      <c r="G61" s="20" t="n"/>
      <c r="H61" s="22" t="n"/>
      <c r="I61" s="23">
        <f>IFERROR(H61/G61,"")</f>
        <v/>
      </c>
      <c r="J61" s="24">
        <f>IFERROR(G61/(E61-D61)*100,"")</f>
        <v/>
      </c>
      <c r="K61" s="25" t="n"/>
      <c r="L61" s="26">
        <f>IFERROR((J61-K61)/K61,"")</f>
        <v/>
      </c>
      <c r="M61" s="27">
        <f>IF(OR(J61="",K61=""),"",IF((J61-K61)/K61&gt;$D$4,"VERIFIER","OK"))</f>
        <v/>
      </c>
    </row>
    <row r="62">
      <c r="A62" s="18" t="n"/>
      <c r="B62" s="19" t="n"/>
      <c r="C62" s="19" t="n"/>
      <c r="D62" s="20" t="n"/>
      <c r="E62" s="20" t="n"/>
      <c r="F62" s="21">
        <f>IF(OR(D62="",E62=""),"",E62-D62)</f>
        <v/>
      </c>
      <c r="G62" s="20" t="n"/>
      <c r="H62" s="22" t="n"/>
      <c r="I62" s="23">
        <f>IFERROR(H62/G62,"")</f>
        <v/>
      </c>
      <c r="J62" s="24">
        <f>IFERROR(G62/(E62-D62)*100,"")</f>
        <v/>
      </c>
      <c r="K62" s="25" t="n"/>
      <c r="L62" s="26">
        <f>IFERROR((J62-K62)/K62,"")</f>
        <v/>
      </c>
      <c r="M62" s="27">
        <f>IF(OR(J62="",K62=""),"",IF((J62-K62)/K62&gt;$D$4,"VERIFIER","OK"))</f>
        <v/>
      </c>
    </row>
    <row r="63">
      <c r="A63" s="18" t="n"/>
      <c r="B63" s="19" t="n"/>
      <c r="C63" s="19" t="n"/>
      <c r="D63" s="20" t="n"/>
      <c r="E63" s="20" t="n"/>
      <c r="F63" s="21">
        <f>IF(OR(D63="",E63=""),"",E63-D63)</f>
        <v/>
      </c>
      <c r="G63" s="20" t="n"/>
      <c r="H63" s="22" t="n"/>
      <c r="I63" s="23">
        <f>IFERROR(H63/G63,"")</f>
        <v/>
      </c>
      <c r="J63" s="24">
        <f>IFERROR(G63/(E63-D63)*100,"")</f>
        <v/>
      </c>
      <c r="K63" s="25" t="n"/>
      <c r="L63" s="26">
        <f>IFERROR((J63-K63)/K63,"")</f>
        <v/>
      </c>
      <c r="M63" s="27">
        <f>IF(OR(J63="",K63=""),"",IF((J63-K63)/K63&gt;$D$4,"VERIFIER","OK"))</f>
        <v/>
      </c>
    </row>
    <row r="64">
      <c r="A64" s="18" t="n"/>
      <c r="B64" s="19" t="n"/>
      <c r="C64" s="19" t="n"/>
      <c r="D64" s="20" t="n"/>
      <c r="E64" s="20" t="n"/>
      <c r="F64" s="21">
        <f>IF(OR(D64="",E64=""),"",E64-D64)</f>
        <v/>
      </c>
      <c r="G64" s="20" t="n"/>
      <c r="H64" s="22" t="n"/>
      <c r="I64" s="23">
        <f>IFERROR(H64/G64,"")</f>
        <v/>
      </c>
      <c r="J64" s="24">
        <f>IFERROR(G64/(E64-D64)*100,"")</f>
        <v/>
      </c>
      <c r="K64" s="25" t="n"/>
      <c r="L64" s="26">
        <f>IFERROR((J64-K64)/K64,"")</f>
        <v/>
      </c>
      <c r="M64" s="27">
        <f>IF(OR(J64="",K64=""),"",IF((J64-K64)/K64&gt;$D$4,"VERIFIER","OK"))</f>
        <v/>
      </c>
    </row>
    <row r="65">
      <c r="A65" s="18" t="n"/>
      <c r="B65" s="19" t="n"/>
      <c r="C65" s="19" t="n"/>
      <c r="D65" s="20" t="n"/>
      <c r="E65" s="20" t="n"/>
      <c r="F65" s="21">
        <f>IF(OR(D65="",E65=""),"",E65-D65)</f>
        <v/>
      </c>
      <c r="G65" s="20" t="n"/>
      <c r="H65" s="22" t="n"/>
      <c r="I65" s="23">
        <f>IFERROR(H65/G65,"")</f>
        <v/>
      </c>
      <c r="J65" s="24">
        <f>IFERROR(G65/(E65-D65)*100,"")</f>
        <v/>
      </c>
      <c r="K65" s="25" t="n"/>
      <c r="L65" s="26">
        <f>IFERROR((J65-K65)/K65,"")</f>
        <v/>
      </c>
      <c r="M65" s="27">
        <f>IF(OR(J65="",K65=""),"",IF((J65-K65)/K65&gt;$D$4,"VERIFIER","OK"))</f>
        <v/>
      </c>
    </row>
    <row r="66">
      <c r="A66" s="18" t="n"/>
      <c r="B66" s="19" t="n"/>
      <c r="C66" s="19" t="n"/>
      <c r="D66" s="20" t="n"/>
      <c r="E66" s="20" t="n"/>
      <c r="F66" s="21">
        <f>IF(OR(D66="",E66=""),"",E66-D66)</f>
        <v/>
      </c>
      <c r="G66" s="20" t="n"/>
      <c r="H66" s="22" t="n"/>
      <c r="I66" s="23">
        <f>IFERROR(H66/G66,"")</f>
        <v/>
      </c>
      <c r="J66" s="24">
        <f>IFERROR(G66/(E66-D66)*100,"")</f>
        <v/>
      </c>
      <c r="K66" s="25" t="n"/>
      <c r="L66" s="26">
        <f>IFERROR((J66-K66)/K66,"")</f>
        <v/>
      </c>
      <c r="M66" s="27">
        <f>IF(OR(J66="",K66=""),"",IF((J66-K66)/K66&gt;$D$4,"VERIFIER","OK"))</f>
        <v/>
      </c>
    </row>
    <row r="67">
      <c r="A67" s="18" t="n"/>
      <c r="B67" s="19" t="n"/>
      <c r="C67" s="19" t="n"/>
      <c r="D67" s="20" t="n"/>
      <c r="E67" s="20" t="n"/>
      <c r="F67" s="21">
        <f>IF(OR(D67="",E67=""),"",E67-D67)</f>
        <v/>
      </c>
      <c r="G67" s="20" t="n"/>
      <c r="H67" s="22" t="n"/>
      <c r="I67" s="23">
        <f>IFERROR(H67/G67,"")</f>
        <v/>
      </c>
      <c r="J67" s="24">
        <f>IFERROR(G67/(E67-D67)*100,"")</f>
        <v/>
      </c>
      <c r="K67" s="25" t="n"/>
      <c r="L67" s="26">
        <f>IFERROR((J67-K67)/K67,"")</f>
        <v/>
      </c>
      <c r="M67" s="27">
        <f>IF(OR(J67="",K67=""),"",IF((J67-K67)/K67&gt;$D$4,"VERIFIER","OK"))</f>
        <v/>
      </c>
    </row>
    <row r="69" ht="55" customHeight="1">
      <c r="A69" s="28" t="inlineStr">
        <is>
          <t>Méthode : établissez la conso de référence de chaque véhicule sur 2–3 semaines, puis reportez-la en colonne 'Conso réf.'. Une ligne ROUGE = consommation anormale → enquêter (siphonnage, faux plein, fuite, compteur trafiqué). Contrôles à croiser : plein &gt; capacité du réservoir, plein un jour sans mission, 2 pleins rapprochés dans des stations éloignées.</t>
        </is>
      </c>
    </row>
  </sheetData>
  <mergeCells count="4">
    <mergeCell ref="A4:C4"/>
    <mergeCell ref="A2:M2"/>
    <mergeCell ref="A69:M69"/>
    <mergeCell ref="A1:M1"/>
  </mergeCells>
  <conditionalFormatting sqref="A8:M67">
    <cfRule type="expression" priority="1" dxfId="0" stopIfTrue="0">
      <formula>$M8="VERIFIER"</formula>
    </cfRule>
    <cfRule type="expression" priority="2" dxfId="1" stopIfTrue="0">
      <formula>$M8="OK"</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37"/>
  <sheetViews>
    <sheetView workbookViewId="0">
      <pane ySplit="10" topLeftCell="A11" activePane="bottomLeft" state="frozen"/>
      <selection pane="bottomLeft" activeCell="A1" sqref="A1"/>
    </sheetView>
  </sheetViews>
  <sheetFormatPr baseColWidth="8" defaultRowHeight="15"/>
  <cols>
    <col width="28" customWidth="1" min="1" max="1"/>
    <col width="18" customWidth="1" min="2" max="2"/>
    <col width="14" customWidth="1" min="3" max="3"/>
    <col width="11" customWidth="1" min="4" max="4"/>
    <col width="13" customWidth="1" min="5" max="5"/>
    <col width="11" customWidth="1" min="6" max="6"/>
    <col width="16" customWidth="1" min="7" max="7"/>
    <col width="30" customWidth="1" min="8" max="8"/>
  </cols>
  <sheetData>
    <row r="1" ht="30" customHeight="1">
      <c r="A1" s="1" t="inlineStr">
        <is>
          <t>TABLEAU DES DETTES — PRIORISÉ</t>
        </is>
      </c>
    </row>
    <row r="2" ht="18" customHeight="1">
      <c r="A2" s="2" t="inlineStr">
        <is>
          <t>Listez chaque dette. La priorité suggérée se calcule selon le type (1 = à payer en premier).</t>
        </is>
      </c>
    </row>
    <row r="4">
      <c r="A4" s="3" t="inlineStr">
        <is>
          <t>Ordre de priorité recommandé :</t>
        </is>
      </c>
    </row>
    <row r="5">
      <c r="A5" s="5" t="inlineStr">
        <is>
          <t>1 = Fiscal &amp; social (impôts, TVA, CNSS) — le plus dangereux</t>
        </is>
      </c>
    </row>
    <row r="6">
      <c r="A6" s="5" t="inlineStr">
        <is>
          <t>2 = Fournisseur critique (carburant…) — risque de coupure</t>
        </is>
      </c>
    </row>
    <row r="7">
      <c r="A7" s="5" t="inlineStr">
        <is>
          <t>3 = Bancaire — rééchelonnable</t>
        </is>
      </c>
    </row>
    <row r="8">
      <c r="A8" s="5" t="inlineStr">
        <is>
          <t>4 = Autre / particulier patient</t>
        </is>
      </c>
    </row>
    <row r="10" ht="30" customHeight="1">
      <c r="A10" s="7" t="inlineStr">
        <is>
          <t>Créancier</t>
        </is>
      </c>
      <c r="B10" s="7" t="inlineStr">
        <is>
          <t>Type</t>
        </is>
      </c>
      <c r="C10" s="7" t="inlineStr">
        <is>
          <t>Montant
(dt)</t>
        </is>
      </c>
      <c r="D10" s="7" t="inlineStr">
        <is>
          <t>Taux
d'intérêt</t>
        </is>
      </c>
      <c r="E10" s="7" t="inlineStr">
        <is>
          <t>Échéance</t>
        </is>
      </c>
      <c r="F10" s="7" t="inlineStr">
        <is>
          <t>Priorité
suggérée</t>
        </is>
      </c>
      <c r="G10" s="7" t="inlineStr">
        <is>
          <t>Statut</t>
        </is>
      </c>
      <c r="H10" s="7" t="inlineStr">
        <is>
          <t>Notes</t>
        </is>
      </c>
    </row>
    <row r="11">
      <c r="A11" s="29" t="inlineStr">
        <is>
          <t>CNSS (EXEMPLE)</t>
        </is>
      </c>
      <c r="B11" s="29" t="inlineStr">
        <is>
          <t>Fiscal &amp; social</t>
        </is>
      </c>
      <c r="C11" s="30" t="n">
        <v>60000</v>
      </c>
      <c r="D11" s="31" t="n">
        <v>0</v>
      </c>
      <c r="E11" s="32" t="inlineStr">
        <is>
          <t>2026-09-30</t>
        </is>
      </c>
      <c r="F11" s="17">
        <f>IF(B11="","",IF(B11="Fiscal &amp; social",1,IF(B11="Fournisseur",2,IF(B11="Bancaire",3,4))))</f>
        <v/>
      </c>
      <c r="G11" s="29" t="inlineStr">
        <is>
          <t>A payer</t>
        </is>
      </c>
      <c r="H11" s="29" t="inlineStr">
        <is>
          <t>Demander échéancier</t>
        </is>
      </c>
    </row>
    <row r="12">
      <c r="A12" s="29" t="inlineStr">
        <is>
          <t>Fournisseur gasoil (EXEMPLE)</t>
        </is>
      </c>
      <c r="B12" s="29" t="inlineStr">
        <is>
          <t>Fournisseur</t>
        </is>
      </c>
      <c r="C12" s="30" t="n">
        <v>40000</v>
      </c>
      <c r="D12" s="31" t="n">
        <v>0</v>
      </c>
      <c r="E12" s="32" t="inlineStr">
        <is>
          <t>2026-08-15</t>
        </is>
      </c>
      <c r="F12" s="17">
        <f>IF(B12="","",IF(B12="Fiscal &amp; social",1,IF(B12="Fournisseur",2,IF(B12="Bancaire",3,4))))</f>
        <v/>
      </c>
      <c r="G12" s="29" t="inlineStr">
        <is>
          <t>En négociation</t>
        </is>
      </c>
      <c r="H12" s="29" t="inlineStr">
        <is>
          <t>Négocier délai 60j</t>
        </is>
      </c>
    </row>
    <row r="13">
      <c r="A13" s="29" t="inlineStr">
        <is>
          <t>Banque - crédit (EXEMPLE)</t>
        </is>
      </c>
      <c r="B13" s="29" t="inlineStr">
        <is>
          <t>Bancaire</t>
        </is>
      </c>
      <c r="C13" s="30" t="n">
        <v>150000</v>
      </c>
      <c r="D13" s="31" t="n">
        <v>0.09</v>
      </c>
      <c r="E13" s="32" t="inlineStr">
        <is>
          <t>2027-12-31</t>
        </is>
      </c>
      <c r="F13" s="17">
        <f>IF(B13="","",IF(B13="Fiscal &amp; social",1,IF(B13="Fournisseur",2,IF(B13="Bancaire",3,4))))</f>
        <v/>
      </c>
      <c r="G13" s="29" t="inlineStr">
        <is>
          <t>A payer</t>
        </is>
      </c>
      <c r="H13" s="29" t="inlineStr">
        <is>
          <t>Demander rééchelonnement</t>
        </is>
      </c>
    </row>
    <row r="14">
      <c r="A14" s="33" t="n"/>
      <c r="B14" s="33" t="n"/>
      <c r="C14" s="34" t="n"/>
      <c r="D14" s="35" t="n"/>
      <c r="E14" s="36" t="n"/>
      <c r="F14" s="27">
        <f>IF(B14="","",IF(B14="Fiscal &amp; social",1,IF(B14="Fournisseur",2,IF(B14="Bancaire",3,4))))</f>
        <v/>
      </c>
      <c r="G14" s="33" t="n"/>
      <c r="H14" s="33" t="n"/>
    </row>
    <row r="15">
      <c r="A15" s="33" t="n"/>
      <c r="B15" s="33" t="n"/>
      <c r="C15" s="34" t="n"/>
      <c r="D15" s="35" t="n"/>
      <c r="E15" s="36" t="n"/>
      <c r="F15" s="27">
        <f>IF(B15="","",IF(B15="Fiscal &amp; social",1,IF(B15="Fournisseur",2,IF(B15="Bancaire",3,4))))</f>
        <v/>
      </c>
      <c r="G15" s="33" t="n"/>
      <c r="H15" s="33" t="n"/>
    </row>
    <row r="16">
      <c r="A16" s="33" t="n"/>
      <c r="B16" s="33" t="n"/>
      <c r="C16" s="34" t="n"/>
      <c r="D16" s="35" t="n"/>
      <c r="E16" s="36" t="n"/>
      <c r="F16" s="27">
        <f>IF(B16="","",IF(B16="Fiscal &amp; social",1,IF(B16="Fournisseur",2,IF(B16="Bancaire",3,4))))</f>
        <v/>
      </c>
      <c r="G16" s="33" t="n"/>
      <c r="H16" s="33" t="n"/>
    </row>
    <row r="17">
      <c r="A17" s="33" t="n"/>
      <c r="B17" s="33" t="n"/>
      <c r="C17" s="34" t="n"/>
      <c r="D17" s="35" t="n"/>
      <c r="E17" s="36" t="n"/>
      <c r="F17" s="27">
        <f>IF(B17="","",IF(B17="Fiscal &amp; social",1,IF(B17="Fournisseur",2,IF(B17="Bancaire",3,4))))</f>
        <v/>
      </c>
      <c r="G17" s="33" t="n"/>
      <c r="H17" s="33" t="n"/>
    </row>
    <row r="18">
      <c r="A18" s="33" t="n"/>
      <c r="B18" s="33" t="n"/>
      <c r="C18" s="34" t="n"/>
      <c r="D18" s="35" t="n"/>
      <c r="E18" s="36" t="n"/>
      <c r="F18" s="27">
        <f>IF(B18="","",IF(B18="Fiscal &amp; social",1,IF(B18="Fournisseur",2,IF(B18="Bancaire",3,4))))</f>
        <v/>
      </c>
      <c r="G18" s="33" t="n"/>
      <c r="H18" s="33" t="n"/>
    </row>
    <row r="19">
      <c r="A19" s="33" t="n"/>
      <c r="B19" s="33" t="n"/>
      <c r="C19" s="34" t="n"/>
      <c r="D19" s="35" t="n"/>
      <c r="E19" s="36" t="n"/>
      <c r="F19" s="27">
        <f>IF(B19="","",IF(B19="Fiscal &amp; social",1,IF(B19="Fournisseur",2,IF(B19="Bancaire",3,4))))</f>
        <v/>
      </c>
      <c r="G19" s="33" t="n"/>
      <c r="H19" s="33" t="n"/>
    </row>
    <row r="20">
      <c r="A20" s="33" t="n"/>
      <c r="B20" s="33" t="n"/>
      <c r="C20" s="34" t="n"/>
      <c r="D20" s="35" t="n"/>
      <c r="E20" s="36" t="n"/>
      <c r="F20" s="27">
        <f>IF(B20="","",IF(B20="Fiscal &amp; social",1,IF(B20="Fournisseur",2,IF(B20="Bancaire",3,4))))</f>
        <v/>
      </c>
      <c r="G20" s="33" t="n"/>
      <c r="H20" s="33" t="n"/>
    </row>
    <row r="21">
      <c r="A21" s="33" t="n"/>
      <c r="B21" s="33" t="n"/>
      <c r="C21" s="34" t="n"/>
      <c r="D21" s="35" t="n"/>
      <c r="E21" s="36" t="n"/>
      <c r="F21" s="27">
        <f>IF(B21="","",IF(B21="Fiscal &amp; social",1,IF(B21="Fournisseur",2,IF(B21="Bancaire",3,4))))</f>
        <v/>
      </c>
      <c r="G21" s="33" t="n"/>
      <c r="H21" s="33" t="n"/>
    </row>
    <row r="22">
      <c r="A22" s="33" t="n"/>
      <c r="B22" s="33" t="n"/>
      <c r="C22" s="34" t="n"/>
      <c r="D22" s="35" t="n"/>
      <c r="E22" s="36" t="n"/>
      <c r="F22" s="27">
        <f>IF(B22="","",IF(B22="Fiscal &amp; social",1,IF(B22="Fournisseur",2,IF(B22="Bancaire",3,4))))</f>
        <v/>
      </c>
      <c r="G22" s="33" t="n"/>
      <c r="H22" s="33" t="n"/>
    </row>
    <row r="23">
      <c r="A23" s="33" t="n"/>
      <c r="B23" s="33" t="n"/>
      <c r="C23" s="34" t="n"/>
      <c r="D23" s="35" t="n"/>
      <c r="E23" s="36" t="n"/>
      <c r="F23" s="27">
        <f>IF(B23="","",IF(B23="Fiscal &amp; social",1,IF(B23="Fournisseur",2,IF(B23="Bancaire",3,4))))</f>
        <v/>
      </c>
      <c r="G23" s="33" t="n"/>
      <c r="H23" s="33" t="n"/>
    </row>
    <row r="24">
      <c r="A24" s="33" t="n"/>
      <c r="B24" s="33" t="n"/>
      <c r="C24" s="34" t="n"/>
      <c r="D24" s="35" t="n"/>
      <c r="E24" s="36" t="n"/>
      <c r="F24" s="27">
        <f>IF(B24="","",IF(B24="Fiscal &amp; social",1,IF(B24="Fournisseur",2,IF(B24="Bancaire",3,4))))</f>
        <v/>
      </c>
      <c r="G24" s="33" t="n"/>
      <c r="H24" s="33" t="n"/>
    </row>
    <row r="25">
      <c r="A25" s="33" t="n"/>
      <c r="B25" s="33" t="n"/>
      <c r="C25" s="34" t="n"/>
      <c r="D25" s="35" t="n"/>
      <c r="E25" s="36" t="n"/>
      <c r="F25" s="27">
        <f>IF(B25="","",IF(B25="Fiscal &amp; social",1,IF(B25="Fournisseur",2,IF(B25="Bancaire",3,4))))</f>
        <v/>
      </c>
      <c r="G25" s="33" t="n"/>
      <c r="H25" s="33" t="n"/>
    </row>
    <row r="26">
      <c r="A26" s="33" t="n"/>
      <c r="B26" s="33" t="n"/>
      <c r="C26" s="34" t="n"/>
      <c r="D26" s="35" t="n"/>
      <c r="E26" s="36" t="n"/>
      <c r="F26" s="27">
        <f>IF(B26="","",IF(B26="Fiscal &amp; social",1,IF(B26="Fournisseur",2,IF(B26="Bancaire",3,4))))</f>
        <v/>
      </c>
      <c r="G26" s="33" t="n"/>
      <c r="H26" s="33" t="n"/>
    </row>
    <row r="27">
      <c r="A27" s="33" t="n"/>
      <c r="B27" s="33" t="n"/>
      <c r="C27" s="34" t="n"/>
      <c r="D27" s="35" t="n"/>
      <c r="E27" s="36" t="n"/>
      <c r="F27" s="27">
        <f>IF(B27="","",IF(B27="Fiscal &amp; social",1,IF(B27="Fournisseur",2,IF(B27="Bancaire",3,4))))</f>
        <v/>
      </c>
      <c r="G27" s="33" t="n"/>
      <c r="H27" s="33" t="n"/>
    </row>
    <row r="28">
      <c r="A28" s="33" t="n"/>
      <c r="B28" s="33" t="n"/>
      <c r="C28" s="34" t="n"/>
      <c r="D28" s="35" t="n"/>
      <c r="E28" s="36" t="n"/>
      <c r="F28" s="27">
        <f>IF(B28="","",IF(B28="Fiscal &amp; social",1,IF(B28="Fournisseur",2,IF(B28="Bancaire",3,4))))</f>
        <v/>
      </c>
      <c r="G28" s="33" t="n"/>
      <c r="H28" s="33" t="n"/>
    </row>
    <row r="29">
      <c r="A29" s="33" t="n"/>
      <c r="B29" s="33" t="n"/>
      <c r="C29" s="34" t="n"/>
      <c r="D29" s="35" t="n"/>
      <c r="E29" s="36" t="n"/>
      <c r="F29" s="27">
        <f>IF(B29="","",IF(B29="Fiscal &amp; social",1,IF(B29="Fournisseur",2,IF(B29="Bancaire",3,4))))</f>
        <v/>
      </c>
      <c r="G29" s="33" t="n"/>
      <c r="H29" s="33" t="n"/>
    </row>
    <row r="30">
      <c r="A30" s="33" t="n"/>
      <c r="B30" s="33" t="n"/>
      <c r="C30" s="34" t="n"/>
      <c r="D30" s="35" t="n"/>
      <c r="E30" s="36" t="n"/>
      <c r="F30" s="27">
        <f>IF(B30="","",IF(B30="Fiscal &amp; social",1,IF(B30="Fournisseur",2,IF(B30="Bancaire",3,4))))</f>
        <v/>
      </c>
      <c r="G30" s="33" t="n"/>
      <c r="H30" s="33" t="n"/>
    </row>
    <row r="31">
      <c r="A31" s="33" t="n"/>
      <c r="B31" s="33" t="n"/>
      <c r="C31" s="34" t="n"/>
      <c r="D31" s="35" t="n"/>
      <c r="E31" s="36" t="n"/>
      <c r="F31" s="27">
        <f>IF(B31="","",IF(B31="Fiscal &amp; social",1,IF(B31="Fournisseur",2,IF(B31="Bancaire",3,4))))</f>
        <v/>
      </c>
      <c r="G31" s="33" t="n"/>
      <c r="H31" s="33" t="n"/>
    </row>
    <row r="32">
      <c r="A32" s="33" t="n"/>
      <c r="B32" s="33" t="n"/>
      <c r="C32" s="34" t="n"/>
      <c r="D32" s="35" t="n"/>
      <c r="E32" s="36" t="n"/>
      <c r="F32" s="27">
        <f>IF(B32="","",IF(B32="Fiscal &amp; social",1,IF(B32="Fournisseur",2,IF(B32="Bancaire",3,4))))</f>
        <v/>
      </c>
      <c r="G32" s="33" t="n"/>
      <c r="H32" s="33" t="n"/>
    </row>
    <row r="33">
      <c r="A33" s="33" t="n"/>
      <c r="B33" s="33" t="n"/>
      <c r="C33" s="34" t="n"/>
      <c r="D33" s="35" t="n"/>
      <c r="E33" s="36" t="n"/>
      <c r="F33" s="27">
        <f>IF(B33="","",IF(B33="Fiscal &amp; social",1,IF(B33="Fournisseur",2,IF(B33="Bancaire",3,4))))</f>
        <v/>
      </c>
      <c r="G33" s="33" t="n"/>
      <c r="H33" s="33" t="n"/>
    </row>
    <row r="34">
      <c r="A34" s="33" t="n"/>
      <c r="B34" s="33" t="n"/>
      <c r="C34" s="34" t="n"/>
      <c r="D34" s="35" t="n"/>
      <c r="E34" s="36" t="n"/>
      <c r="F34" s="27">
        <f>IF(B34="","",IF(B34="Fiscal &amp; social",1,IF(B34="Fournisseur",2,IF(B34="Bancaire",3,4))))</f>
        <v/>
      </c>
      <c r="G34" s="33" t="n"/>
      <c r="H34" s="33" t="n"/>
    </row>
    <row r="35">
      <c r="A35" s="33" t="n"/>
      <c r="B35" s="33" t="n"/>
      <c r="C35" s="34" t="n"/>
      <c r="D35" s="35" t="n"/>
      <c r="E35" s="36" t="n"/>
      <c r="F35" s="27">
        <f>IF(B35="","",IF(B35="Fiscal &amp; social",1,IF(B35="Fournisseur",2,IF(B35="Bancaire",3,4))))</f>
        <v/>
      </c>
      <c r="G35" s="33" t="n"/>
      <c r="H35" s="33" t="n"/>
    </row>
    <row r="37">
      <c r="B37" s="37" t="inlineStr">
        <is>
          <t>TOTAL DETTES</t>
        </is>
      </c>
      <c r="C37" s="38">
        <f>SUM(C11:C35)</f>
        <v/>
      </c>
    </row>
  </sheetData>
  <mergeCells count="6">
    <mergeCell ref="A1:H1"/>
    <mergeCell ref="A7:H7"/>
    <mergeCell ref="A2:H2"/>
    <mergeCell ref="A5:H5"/>
    <mergeCell ref="A8:H8"/>
    <mergeCell ref="A6:H6"/>
  </mergeCells>
  <dataValidations count="2">
    <dataValidation sqref="B11 B12 B13 B14 B15 B16 B17 B18 B19 B20 B21 B22 B23 B24 B25 B26 B27 B28 B29 B30 B31 B32 B33 B34 B35" showDropDown="0" showInputMessage="0" showErrorMessage="0" allowBlank="1" type="list">
      <formula1>"Fiscal &amp; social,Fournisseur,Bancaire,Autre"</formula1>
    </dataValidation>
    <dataValidation sqref="G11 G12 G13 G14 G15 G16 G17 G18 G19 G20 G21 G22 G23 G24 G25 G26 G27 G28 G29 G30 G31 G32 G33 G34 G35" showDropDown="0" showInputMessage="0" showErrorMessage="0" allowBlank="1" type="list">
      <formula1>"A payer,En négociation,Rééchelonnée,Soldée"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1" customWidth="1" min="3" max="3"/>
    <col width="10" customWidth="1" min="4" max="4"/>
    <col width="11" customWidth="1" min="5" max="5"/>
    <col width="12" customWidth="1" min="6" max="6"/>
    <col width="11" customWidth="1" min="7" max="7"/>
    <col width="12" customWidth="1" min="8" max="8"/>
    <col width="12" customWidth="1" min="9" max="9"/>
    <col width="12" customWidth="1" min="10" max="10"/>
    <col width="12" customWidth="1" min="11" max="11"/>
    <col width="11" customWidth="1" min="12" max="12"/>
    <col hidden="1" width="13" customWidth="1" min="13" max="13"/>
  </cols>
  <sheetData>
    <row r="1" ht="30" customHeight="1">
      <c r="A1" s="1" t="inlineStr">
        <is>
          <t>TRÉSORERIE &amp; PLAN DE REMBOURSEMENT (12 mois)</t>
        </is>
      </c>
    </row>
    <row r="2" ht="18" customHeight="1">
      <c r="A2" s="2" t="inlineStr">
        <is>
          <t>Saisissez le CA prévu de chaque mois (bleu). Le coussin, les versements et la dette restante se calculent.</t>
        </is>
      </c>
    </row>
    <row r="4">
      <c r="A4" s="3" t="inlineStr">
        <is>
          <t>HYPOTHÈSES (cellules jaunes modifiables)</t>
        </is>
      </c>
    </row>
    <row r="5">
      <c r="A5" s="3" t="inlineStr">
        <is>
          <t>Charges fixes mensuelles</t>
        </is>
      </c>
      <c r="C5" s="39" t="n">
        <v>85000</v>
      </c>
    </row>
    <row r="6">
      <c r="A6" s="3" t="inlineStr">
        <is>
          <t>Gasoil mensuel</t>
        </is>
      </c>
      <c r="C6" s="39" t="n">
        <v>50000</v>
      </c>
    </row>
    <row r="7">
      <c r="A7" s="3" t="inlineStr">
        <is>
          <t>Coussin de sécurité cible</t>
        </is>
      </c>
      <c r="C7" s="39" t="n">
        <v>150000</v>
      </c>
    </row>
    <row r="8">
      <c r="A8" s="3" t="inlineStr">
        <is>
          <t>Trésorerie de départ</t>
        </is>
      </c>
      <c r="C8" s="39" t="n">
        <v>0</v>
      </c>
    </row>
    <row r="9">
      <c r="A9" s="3" t="inlineStr">
        <is>
          <t>Dette totale de départ</t>
        </is>
      </c>
      <c r="C9" s="40">
        <f>'Dettes'!C37</f>
        <v/>
      </c>
    </row>
    <row r="12" ht="30" customHeight="1">
      <c r="A12" s="7" t="inlineStr">
        <is>
          <t>Mois</t>
        </is>
      </c>
      <c r="B12" s="7" t="inlineStr">
        <is>
          <t>CA prévu
(dt)</t>
        </is>
      </c>
      <c r="C12" s="7" t="inlineStr">
        <is>
          <t>Charges
fixes</t>
        </is>
      </c>
      <c r="D12" s="7" t="inlineStr">
        <is>
          <t>Gasoil</t>
        </is>
      </c>
      <c r="E12" s="7" t="inlineStr">
        <is>
          <t>Total
charges</t>
        </is>
      </c>
      <c r="F12" s="7" t="inlineStr">
        <is>
          <t>Surplus /
Déficit</t>
        </is>
      </c>
      <c r="G12" s="7" t="inlineStr">
        <is>
          <t>Coussin
début</t>
        </is>
      </c>
      <c r="H12" s="7" t="inlineStr">
        <is>
          <t>Trésorerie
dispo</t>
        </is>
      </c>
      <c r="I12" s="7" t="inlineStr">
        <is>
          <t>Dette
début</t>
        </is>
      </c>
      <c r="J12" s="7" t="inlineStr">
        <is>
          <t>Versement
dette</t>
        </is>
      </c>
      <c r="K12" s="7" t="inlineStr">
        <is>
          <t>Dette
restante</t>
        </is>
      </c>
      <c r="L12" s="7" t="inlineStr">
        <is>
          <t>Coussin
fin</t>
        </is>
      </c>
      <c r="M12" s="7" t="inlineStr">
        <is>
          <t>Soldée</t>
        </is>
      </c>
    </row>
    <row r="13">
      <c r="A13" s="41" t="inlineStr">
        <is>
          <t>Mois 1</t>
        </is>
      </c>
      <c r="B13" s="42" t="n">
        <v>150000</v>
      </c>
      <c r="C13" s="43">
        <f>$C$5</f>
        <v/>
      </c>
      <c r="D13" s="43">
        <f>$C$6</f>
        <v/>
      </c>
      <c r="E13" s="43">
        <f>C13+D13</f>
        <v/>
      </c>
      <c r="F13" s="43">
        <f>B13-E13</f>
        <v/>
      </c>
      <c r="G13" s="43">
        <f>$C$8</f>
        <v/>
      </c>
      <c r="H13" s="43">
        <f>G13+F13</f>
        <v/>
      </c>
      <c r="I13" s="43">
        <f>$C$9</f>
        <v/>
      </c>
      <c r="J13" s="43">
        <f>MIN(I13,MAX(0,H13-$C$7))</f>
        <v/>
      </c>
      <c r="K13" s="43">
        <f>I13-J13</f>
        <v/>
      </c>
      <c r="L13" s="43">
        <f>H13-J13</f>
        <v/>
      </c>
      <c r="M13" s="44">
        <f>IF(K13&lt;=0,1,0)</f>
        <v/>
      </c>
    </row>
    <row r="14">
      <c r="A14" s="45" t="inlineStr">
        <is>
          <t>Mois 2</t>
        </is>
      </c>
      <c r="B14" s="33" t="n">
        <v>400000</v>
      </c>
      <c r="C14" s="46">
        <f>$C$5</f>
        <v/>
      </c>
      <c r="D14" s="46">
        <f>$C$6</f>
        <v/>
      </c>
      <c r="E14" s="46">
        <f>C14+D14</f>
        <v/>
      </c>
      <c r="F14" s="46">
        <f>B14-E14</f>
        <v/>
      </c>
      <c r="G14" s="46">
        <f>L13</f>
        <v/>
      </c>
      <c r="H14" s="46">
        <f>G14+F14</f>
        <v/>
      </c>
      <c r="I14" s="46">
        <f>K13</f>
        <v/>
      </c>
      <c r="J14" s="46">
        <f>MIN(I14,MAX(0,H14-$C$7))</f>
        <v/>
      </c>
      <c r="K14" s="46">
        <f>I14-J14</f>
        <v/>
      </c>
      <c r="L14" s="46">
        <f>H14-J14</f>
        <v/>
      </c>
      <c r="M14" s="47">
        <f>IF(K14&lt;=0,1,0)</f>
        <v/>
      </c>
    </row>
    <row r="15">
      <c r="A15" s="41" t="inlineStr">
        <is>
          <t>Mois 3</t>
        </is>
      </c>
      <c r="B15" s="42" t="n">
        <v>300000</v>
      </c>
      <c r="C15" s="43">
        <f>$C$5</f>
        <v/>
      </c>
      <c r="D15" s="43">
        <f>$C$6</f>
        <v/>
      </c>
      <c r="E15" s="43">
        <f>C15+D15</f>
        <v/>
      </c>
      <c r="F15" s="43">
        <f>B15-E15</f>
        <v/>
      </c>
      <c r="G15" s="43">
        <f>L14</f>
        <v/>
      </c>
      <c r="H15" s="43">
        <f>G15+F15</f>
        <v/>
      </c>
      <c r="I15" s="43">
        <f>K14</f>
        <v/>
      </c>
      <c r="J15" s="43">
        <f>MIN(I15,MAX(0,H15-$C$7))</f>
        <v/>
      </c>
      <c r="K15" s="43">
        <f>I15-J15</f>
        <v/>
      </c>
      <c r="L15" s="43">
        <f>H15-J15</f>
        <v/>
      </c>
      <c r="M15" s="44">
        <f>IF(K15&lt;=0,1,0)</f>
        <v/>
      </c>
    </row>
    <row r="16">
      <c r="A16" s="45" t="inlineStr">
        <is>
          <t>Mois 4</t>
        </is>
      </c>
      <c r="B16" s="33" t="n">
        <v>250000</v>
      </c>
      <c r="C16" s="46">
        <f>$C$5</f>
        <v/>
      </c>
      <c r="D16" s="46">
        <f>$C$6</f>
        <v/>
      </c>
      <c r="E16" s="46">
        <f>C16+D16</f>
        <v/>
      </c>
      <c r="F16" s="46">
        <f>B16-E16</f>
        <v/>
      </c>
      <c r="G16" s="46">
        <f>L15</f>
        <v/>
      </c>
      <c r="H16" s="46">
        <f>G16+F16</f>
        <v/>
      </c>
      <c r="I16" s="46">
        <f>K15</f>
        <v/>
      </c>
      <c r="J16" s="46">
        <f>MIN(I16,MAX(0,H16-$C$7))</f>
        <v/>
      </c>
      <c r="K16" s="46">
        <f>I16-J16</f>
        <v/>
      </c>
      <c r="L16" s="46">
        <f>H16-J16</f>
        <v/>
      </c>
      <c r="M16" s="47">
        <f>IF(K16&lt;=0,1,0)</f>
        <v/>
      </c>
    </row>
    <row r="17">
      <c r="A17" s="41" t="inlineStr">
        <is>
          <t>Mois 5</t>
        </is>
      </c>
      <c r="B17" s="42" t="n">
        <v>500000</v>
      </c>
      <c r="C17" s="43">
        <f>$C$5</f>
        <v/>
      </c>
      <c r="D17" s="43">
        <f>$C$6</f>
        <v/>
      </c>
      <c r="E17" s="43">
        <f>C17+D17</f>
        <v/>
      </c>
      <c r="F17" s="43">
        <f>B17-E17</f>
        <v/>
      </c>
      <c r="G17" s="43">
        <f>L16</f>
        <v/>
      </c>
      <c r="H17" s="43">
        <f>G17+F17</f>
        <v/>
      </c>
      <c r="I17" s="43">
        <f>K16</f>
        <v/>
      </c>
      <c r="J17" s="43">
        <f>MIN(I17,MAX(0,H17-$C$7))</f>
        <v/>
      </c>
      <c r="K17" s="43">
        <f>I17-J17</f>
        <v/>
      </c>
      <c r="L17" s="43">
        <f>H17-J17</f>
        <v/>
      </c>
      <c r="M17" s="44">
        <f>IF(K17&lt;=0,1,0)</f>
        <v/>
      </c>
    </row>
    <row r="18">
      <c r="A18" s="45" t="inlineStr">
        <is>
          <t>Mois 6</t>
        </is>
      </c>
      <c r="B18" s="33" t="n">
        <v>200000</v>
      </c>
      <c r="C18" s="46">
        <f>$C$5</f>
        <v/>
      </c>
      <c r="D18" s="46">
        <f>$C$6</f>
        <v/>
      </c>
      <c r="E18" s="46">
        <f>C18+D18</f>
        <v/>
      </c>
      <c r="F18" s="46">
        <f>B18-E18</f>
        <v/>
      </c>
      <c r="G18" s="46">
        <f>L17</f>
        <v/>
      </c>
      <c r="H18" s="46">
        <f>G18+F18</f>
        <v/>
      </c>
      <c r="I18" s="46">
        <f>K17</f>
        <v/>
      </c>
      <c r="J18" s="46">
        <f>MIN(I18,MAX(0,H18-$C$7))</f>
        <v/>
      </c>
      <c r="K18" s="46">
        <f>I18-J18</f>
        <v/>
      </c>
      <c r="L18" s="46">
        <f>H18-J18</f>
        <v/>
      </c>
      <c r="M18" s="47">
        <f>IF(K18&lt;=0,1,0)</f>
        <v/>
      </c>
    </row>
    <row r="19">
      <c r="A19" s="41" t="inlineStr">
        <is>
          <t>Mois 7</t>
        </is>
      </c>
      <c r="B19" s="42" t="n">
        <v>350000</v>
      </c>
      <c r="C19" s="43">
        <f>$C$5</f>
        <v/>
      </c>
      <c r="D19" s="43">
        <f>$C$6</f>
        <v/>
      </c>
      <c r="E19" s="43">
        <f>C19+D19</f>
        <v/>
      </c>
      <c r="F19" s="43">
        <f>B19-E19</f>
        <v/>
      </c>
      <c r="G19" s="43">
        <f>L18</f>
        <v/>
      </c>
      <c r="H19" s="43">
        <f>G19+F19</f>
        <v/>
      </c>
      <c r="I19" s="43">
        <f>K18</f>
        <v/>
      </c>
      <c r="J19" s="43">
        <f>MIN(I19,MAX(0,H19-$C$7))</f>
        <v/>
      </c>
      <c r="K19" s="43">
        <f>I19-J19</f>
        <v/>
      </c>
      <c r="L19" s="43">
        <f>H19-J19</f>
        <v/>
      </c>
      <c r="M19" s="44">
        <f>IF(K19&lt;=0,1,0)</f>
        <v/>
      </c>
    </row>
    <row r="20">
      <c r="A20" s="45" t="inlineStr">
        <is>
          <t>Mois 8</t>
        </is>
      </c>
      <c r="B20" s="33" t="n">
        <v>300000</v>
      </c>
      <c r="C20" s="46">
        <f>$C$5</f>
        <v/>
      </c>
      <c r="D20" s="46">
        <f>$C$6</f>
        <v/>
      </c>
      <c r="E20" s="46">
        <f>C20+D20</f>
        <v/>
      </c>
      <c r="F20" s="46">
        <f>B20-E20</f>
        <v/>
      </c>
      <c r="G20" s="46">
        <f>L19</f>
        <v/>
      </c>
      <c r="H20" s="46">
        <f>G20+F20</f>
        <v/>
      </c>
      <c r="I20" s="46">
        <f>K19</f>
        <v/>
      </c>
      <c r="J20" s="46">
        <f>MIN(I20,MAX(0,H20-$C$7))</f>
        <v/>
      </c>
      <c r="K20" s="46">
        <f>I20-J20</f>
        <v/>
      </c>
      <c r="L20" s="46">
        <f>H20-J20</f>
        <v/>
      </c>
      <c r="M20" s="47">
        <f>IF(K20&lt;=0,1,0)</f>
        <v/>
      </c>
    </row>
    <row r="21">
      <c r="A21" s="41" t="inlineStr">
        <is>
          <t>Mois 9</t>
        </is>
      </c>
      <c r="B21" s="42" t="n">
        <v>450000</v>
      </c>
      <c r="C21" s="43">
        <f>$C$5</f>
        <v/>
      </c>
      <c r="D21" s="43">
        <f>$C$6</f>
        <v/>
      </c>
      <c r="E21" s="43">
        <f>C21+D21</f>
        <v/>
      </c>
      <c r="F21" s="43">
        <f>B21-E21</f>
        <v/>
      </c>
      <c r="G21" s="43">
        <f>L20</f>
        <v/>
      </c>
      <c r="H21" s="43">
        <f>G21+F21</f>
        <v/>
      </c>
      <c r="I21" s="43">
        <f>K20</f>
        <v/>
      </c>
      <c r="J21" s="43">
        <f>MIN(I21,MAX(0,H21-$C$7))</f>
        <v/>
      </c>
      <c r="K21" s="43">
        <f>I21-J21</f>
        <v/>
      </c>
      <c r="L21" s="43">
        <f>H21-J21</f>
        <v/>
      </c>
      <c r="M21" s="44">
        <f>IF(K21&lt;=0,1,0)</f>
        <v/>
      </c>
    </row>
    <row r="22">
      <c r="A22" s="45" t="inlineStr">
        <is>
          <t>Mois 10</t>
        </is>
      </c>
      <c r="B22" s="33" t="n">
        <v>250000</v>
      </c>
      <c r="C22" s="46">
        <f>$C$5</f>
        <v/>
      </c>
      <c r="D22" s="46">
        <f>$C$6</f>
        <v/>
      </c>
      <c r="E22" s="46">
        <f>C22+D22</f>
        <v/>
      </c>
      <c r="F22" s="46">
        <f>B22-E22</f>
        <v/>
      </c>
      <c r="G22" s="46">
        <f>L21</f>
        <v/>
      </c>
      <c r="H22" s="46">
        <f>G22+F22</f>
        <v/>
      </c>
      <c r="I22" s="46">
        <f>K21</f>
        <v/>
      </c>
      <c r="J22" s="46">
        <f>MIN(I22,MAX(0,H22-$C$7))</f>
        <v/>
      </c>
      <c r="K22" s="46">
        <f>I22-J22</f>
        <v/>
      </c>
      <c r="L22" s="46">
        <f>H22-J22</f>
        <v/>
      </c>
      <c r="M22" s="47">
        <f>IF(K22&lt;=0,1,0)</f>
        <v/>
      </c>
    </row>
    <row r="23">
      <c r="A23" s="41" t="inlineStr">
        <is>
          <t>Mois 11</t>
        </is>
      </c>
      <c r="B23" s="42" t="n">
        <v>400000</v>
      </c>
      <c r="C23" s="43">
        <f>$C$5</f>
        <v/>
      </c>
      <c r="D23" s="43">
        <f>$C$6</f>
        <v/>
      </c>
      <c r="E23" s="43">
        <f>C23+D23</f>
        <v/>
      </c>
      <c r="F23" s="43">
        <f>B23-E23</f>
        <v/>
      </c>
      <c r="G23" s="43">
        <f>L22</f>
        <v/>
      </c>
      <c r="H23" s="43">
        <f>G23+F23</f>
        <v/>
      </c>
      <c r="I23" s="43">
        <f>K22</f>
        <v/>
      </c>
      <c r="J23" s="43">
        <f>MIN(I23,MAX(0,H23-$C$7))</f>
        <v/>
      </c>
      <c r="K23" s="43">
        <f>I23-J23</f>
        <v/>
      </c>
      <c r="L23" s="43">
        <f>H23-J23</f>
        <v/>
      </c>
      <c r="M23" s="44">
        <f>IF(K23&lt;=0,1,0)</f>
        <v/>
      </c>
    </row>
    <row r="24">
      <c r="A24" s="45" t="inlineStr">
        <is>
          <t>Mois 12</t>
        </is>
      </c>
      <c r="B24" s="33" t="n">
        <v>300000</v>
      </c>
      <c r="C24" s="46">
        <f>$C$5</f>
        <v/>
      </c>
      <c r="D24" s="46">
        <f>$C$6</f>
        <v/>
      </c>
      <c r="E24" s="46">
        <f>C24+D24</f>
        <v/>
      </c>
      <c r="F24" s="46">
        <f>B24-E24</f>
        <v/>
      </c>
      <c r="G24" s="46">
        <f>L23</f>
        <v/>
      </c>
      <c r="H24" s="46">
        <f>G24+F24</f>
        <v/>
      </c>
      <c r="I24" s="46">
        <f>K23</f>
        <v/>
      </c>
      <c r="J24" s="46">
        <f>MIN(I24,MAX(0,H24-$C$7))</f>
        <v/>
      </c>
      <c r="K24" s="46">
        <f>I24-J24</f>
        <v/>
      </c>
      <c r="L24" s="46">
        <f>H24-J24</f>
        <v/>
      </c>
      <c r="M24" s="47">
        <f>IF(K24&lt;=0,1,0)</f>
        <v/>
      </c>
    </row>
    <row r="25">
      <c r="A25" s="37" t="inlineStr">
        <is>
          <t>TOTAUX</t>
        </is>
      </c>
      <c r="B25" s="48">
        <f>SUM(B13:B24)</f>
        <v/>
      </c>
      <c r="F25" s="48">
        <f>SUM(F13:F24)</f>
        <v/>
      </c>
      <c r="J25" s="48">
        <f>SUM(J13:J24)</f>
        <v/>
      </c>
    </row>
    <row r="27">
      <c r="A27" s="3" t="inlineStr">
        <is>
          <t>Dette soldée au :</t>
        </is>
      </c>
      <c r="C27" s="49">
        <f>IFERROR(INDEX(A13:A24,MATCH(1,M13:M24,0)),"&gt; 12 mois : augmenter le CA ou réduire les charges")</f>
        <v/>
      </c>
    </row>
    <row r="29" ht="55" customHeight="1">
      <c r="A29" s="28" t="inlineStr">
        <is>
          <t>Logique : chaque mois, on complète d'abord le coussin de sécurité jusqu'à la cible, puis TOUT l'excédent va au remboursement (cash sweep). Les mois faibles, le coussin absorbe le déficit au lieu de créer une nouvelle dette. Un 'Coussin fin' négatif = besoin de trésorerie ce mois-là : renforcez le coussin les bons mois.</t>
        </is>
      </c>
    </row>
  </sheetData>
  <mergeCells count="11">
    <mergeCell ref="A2:L2"/>
    <mergeCell ref="A29:L29"/>
    <mergeCell ref="A7:B7"/>
    <mergeCell ref="C27:F27"/>
    <mergeCell ref="A1:L1"/>
    <mergeCell ref="A5:B5"/>
    <mergeCell ref="A27:B27"/>
    <mergeCell ref="A9:B9"/>
    <mergeCell ref="A4:C4"/>
    <mergeCell ref="A8:B8"/>
    <mergeCell ref="A6: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2026-07-18T20:31:40Z</dcterms:created>
  <dcterms:modified xsi:type="dcterms:W3CDTF">2026-07-18T20:31:40Z</dcterms:modified>
</cp:coreProperties>
</file>